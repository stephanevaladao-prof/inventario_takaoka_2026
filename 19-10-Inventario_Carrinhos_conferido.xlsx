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Divergências" sheetId="2" state="visible" r:id="rId4"/>
    <sheet name="Conferência" sheetId="3" state="visible" r:id="rId5"/>
    <sheet name="Sistema" sheetId="4" state="visible" r:id="rId6"/>
  </sheets>
  <definedNames>
    <definedName function="false" hidden="true" localSheetId="2" name="_xlnm._FilterDatabase" vbProcedure="false">Conferência!$A$3:$M$336</definedName>
    <definedName function="false" hidden="true" localSheetId="3" name="_xlnm._FilterDatabase" vbProcedure="false">Sistema!$A$1:$I$421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<sst xmlns="http://schemas.openxmlformats.org/spreadsheetml/2006/main" count="4507" uniqueCount="962">
  <si>
    <t xml:space="preserve">Resumo da conferência por carrinho</t>
  </si>
  <si>
    <t xml:space="preserve">Carrinho</t>
  </si>
  <si>
    <t xml:space="preserve">No Word</t>
  </si>
  <si>
    <t xml:space="preserve">Confere</t>
  </si>
  <si>
    <t xml:space="preserve">Local diferente</t>
  </si>
  <si>
    <t xml:space="preserve">Letra final diferente</t>
  </si>
  <si>
    <t xml:space="preserve">Não encontrado</t>
  </si>
  <si>
    <t xml:space="preserve">No sistema (neste carrinho)</t>
  </si>
  <si>
    <t xml:space="preserve">Sistema: não estão no Word</t>
  </si>
  <si>
    <t xml:space="preserve">Carrinho 01 ( AZUL)</t>
  </si>
  <si>
    <t xml:space="preserve">Carrinho 02 ( AMARELO)</t>
  </si>
  <si>
    <t xml:space="preserve">Carrinho 03  ( VERMELHO - CHROME R11 - ED. IN</t>
  </si>
  <si>
    <t xml:space="preserve">Carrinho 04 ( LARANJA )</t>
  </si>
  <si>
    <t xml:space="preserve">Carrinho 05 ( ROXO)</t>
  </si>
  <si>
    <t xml:space="preserve">Carrinho 06 ( VERDE)</t>
  </si>
  <si>
    <t xml:space="preserve">Carrinho 07 - ROSA</t>
  </si>
  <si>
    <t xml:space="preserve">Carrinho 08 - CINZA</t>
  </si>
  <si>
    <t xml:space="preserve">Carrinho 10 - MARROM</t>
  </si>
  <si>
    <t xml:space="preserve">Carrinho 11 - PRETO</t>
  </si>
  <si>
    <t xml:space="preserve">Carrinho 12 - OCRE </t>
  </si>
  <si>
    <t xml:space="preserve">CARRINHO RESERVA</t>
  </si>
  <si>
    <t xml:space="preserve">Carrinho 13 - CIANO</t>
  </si>
  <si>
    <t xml:space="preserve">Total</t>
  </si>
  <si>
    <t xml:space="preserve">Total de linhas na exportação do sistema</t>
  </si>
  <si>
    <t xml:space="preserve">Casos a conferir (aba Divergências)</t>
  </si>
  <si>
    <t xml:space="preserve">Já verificados</t>
  </si>
  <si>
    <t xml:space="preserve">Alteração combinada: o computador 22 do carrinho verde (09S29QAR109471H, patrimônio 382738), que quebrou a tela, foi tirado do Carrinho 06 e passou a constar no carrinho dos quebrados (13 ciano) como nº 29. As duas trocas já foram feitas no sistema (exportação de 20/10/2026) e conferem. No lugar dele entrou o 09S29QAR110876J (patrimônio 382780), que era o nº 11 da reserva; a reserva ficou com 12 no Word.</t>
  </si>
  <si>
    <t xml:space="preserve">O 'Carrinho 13 - CIANO' desta planilha é o Word dos Chromebooks quebrados (o título do Word diz 'ciano'): ele reúne equipamentos de vários carrinhos, por isso muitos aparecem como Local diferente.</t>
  </si>
  <si>
    <t xml:space="preserve">Como ler: nos Samsung a comparação usa o N/S sem a letra final (14 primeiros caracteres, ex.: 09S29QBR703384), e a letra final só é comparada quando o sistema também a traz. Nos Acer (N/S de 22 caracteres) compara o N/S inteiro.</t>
  </si>
  <si>
    <t xml:space="preserve">O N/S ditado aparece sem espaços e hífens; nada mais foi corrigido. As correções prováveis estão só nas observações.</t>
  </si>
  <si>
    <t xml:space="preserve">A exportação do sistema não tem coluna de patrimônio, então o patrimônio do Word não foi conferido.</t>
  </si>
  <si>
    <t xml:space="preserve">Os carregadores não foram conferidos.</t>
  </si>
  <si>
    <t xml:space="preserve">O Word do carrinho azul se chama 'Carrinho 4 azul' (as etiquetas dos Chromebooks dizem carrinho 4), mas os N/S batem com o Carrinho 01 ( AZUL) do sistema, e nenhum bate com o Carrinho 04. A planilha usa o nome do sistema.</t>
  </si>
  <si>
    <t xml:space="preserve">Modelo informado: carrinhos 05, 06, 07, 08 e 10 = Samsung Chromebook 4 cinza; carrinho 03 = Acer Chromebook R11 CB5-132T branco (o nº 26 é um Acer C731 preto); carrinho 13 = Samsung cinza (nº 1 a 16) e Acer preto (nº 17 a 28), com os Chromebooks quebrados; carrinhos 01, 02, 04, 12 e reserva = Acer Chromebook 11 C731 (N16Q13) preto (no 12, o nº 25 é um Samsung cinza; na reserva, do nº 10 ao 13 são Samsung cinza; o cabeçalho do Word da reserva diz 8 Acer + 4 Samsung, mas foram listados 9 Acer + 4 Samsung = 13). No sistema os Samsung variam de lote.</t>
  </si>
  <si>
    <t xml:space="preserve">As hipóteses nas observações são palpites: confirme na etiqueta do equipamento. Linhas em amarelo precisam de conferência.</t>
  </si>
  <si>
    <t xml:space="preserve">Divergências a conferir (para verificar no final do inventário)</t>
  </si>
  <si>
    <t xml:space="preserve">Cada linha é um caso. Quando conferir na etiqueta, marque 'Verificado?' e anote o resultado. Palpites são só hipóteses: vale o que está na etiqueta.</t>
  </si>
  <si>
    <t xml:space="preserve">Caso</t>
  </si>
  <si>
    <t xml:space="preserve">Nº no Word</t>
  </si>
  <si>
    <t xml:space="preserve">Tipo</t>
  </si>
  <si>
    <t xml:space="preserve">N/S no Word (ditado)</t>
  </si>
  <si>
    <t xml:space="preserve">Patrimônio (Word)</t>
  </si>
  <si>
    <t xml:space="preserve">N/S no sistema</t>
  </si>
  <si>
    <t xml:space="preserve">Local no sistema</t>
  </si>
  <si>
    <t xml:space="preserve">O que provavelmente aconteceu</t>
  </si>
  <si>
    <t xml:space="preserve">O que conferir</t>
  </si>
  <si>
    <t xml:space="preserve">Verificado?</t>
  </si>
  <si>
    <t xml:space="preserve">Resultado da conferência</t>
  </si>
  <si>
    <t xml:space="preserve">Carrinho 01</t>
  </si>
  <si>
    <t xml:space="preserve">N/S não encontrado no sistema</t>
  </si>
  <si>
    <t xml:space="preserve">NXH0HAL001830D20719501</t>
  </si>
  <si>
    <t xml:space="preserve">Não existe no sistema</t>
  </si>
  <si>
    <t xml:space="preserve">Foi ditado NXH0HAL001830D20719501. Esse N/S não existe no sistema e não é parecido com nenhum dos que sobram no Carrinho 01. Pode ser um erro de ditado maior ou um equipamento que não está cadastrado no sistema (patrimônio 413983).</t>
  </si>
  <si>
    <t xml:space="preserve">1) Olhe a etiqueta do computador 12 do Carrinho 01 e confira o N/S ditado (NXH0HAL001830D20719501).
2) Se a etiqueta tiver outro N/S: foi erro de ditado. Corrija na planilha e procure o número certo no sistema.
3) Se for esse mesmo: o equipamento não está cadastrado no sistema. Avisar quem mantém o sistema.</t>
  </si>
  <si>
    <t xml:space="preserve">Não</t>
  </si>
  <si>
    <t xml:space="preserve">Erro provável de ditado</t>
  </si>
  <si>
    <t xml:space="preserve">NXH0HAL001832DD66639501</t>
  </si>
  <si>
    <t xml:space="preserve">NXH0HAL001832D66639501</t>
  </si>
  <si>
    <t xml:space="preserve">Foi ditado NXH0HAL001832DD66639501, com 23 caracteres (um D a mais). No sistema o Carrinho 01 tem NXH0HAL001832D66639501. Deve ser o mesmo equipamento.</t>
  </si>
  <si>
    <t xml:space="preserve">1) Olhe a etiqueta do computador 20 do Carrinho 01.
2) Se o N/S for NXH0HAL001832D66639501: foi só erro de ditado. O sistema está certo; corrija o número na planilha.
3) Se o N/S for outro (como NXH0HAL001832DD66639501): o cadastro do sistema está errado. Avisar quem mantém o sistema.</t>
  </si>
  <si>
    <t xml:space="preserve">—</t>
  </si>
  <si>
    <t xml:space="preserve">Sobra no sistema (não está no Word)</t>
  </si>
  <si>
    <t xml:space="preserve">NXH0HAL001832D69D59501</t>
  </si>
  <si>
    <t xml:space="preserve">Está cadastrado no Carrinho 01, mas nenhum computador do Word do Carrinho 01 tem esse N/S. Ele aparece no Word do Carrinho Reserva (computador 1), então provavelmente está mesmo na reserva e só falta atualizar a localização no sistema.</t>
  </si>
  <si>
    <t xml:space="preserve">1) Procure o equipamento de N/S NXH0HAL001832D69D59501.
2) Se achar em outro carrinho ou na manutenção: atualizar a localização no sistema.
3) Se não achar em lugar nenhum: registrar como não localizado.</t>
  </si>
  <si>
    <t xml:space="preserve">Carrinho 03</t>
  </si>
  <si>
    <t xml:space="preserve">NXG54AL00274817F47600</t>
  </si>
  <si>
    <t xml:space="preserve">NXG54AL002748177F47600</t>
  </si>
  <si>
    <t xml:space="preserve">Foi ditado NXG54AL00274817F47600, com um caractere a menos (falta um 7). No sistema o Carrinho 03 tem NXG54AL002748177F47600. Deve ser o mesmo equipamento.</t>
  </si>
  <si>
    <t xml:space="preserve">1) Olhe a etiqueta do computador 1 do Carrinho 03.
2) Se o N/S for NXG54AL002748177F47600: foi só erro de ditado. O sistema está certo; corrija o número na planilha.
3) Se o N/S for outro (como NXG54AL00274817F47600): o cadastro do sistema está errado. Avisar quem mantém o sistema.</t>
  </si>
  <si>
    <t xml:space="preserve">Local diferente no sistema</t>
  </si>
  <si>
    <t xml:space="preserve">NXH0HAL001830D18D69501</t>
  </si>
  <si>
    <t xml:space="preserve">É o Chromebook preto (Acer C731), não um dos brancos do carrinho. O sistema registra este N/S em CARRINHO RESERVA. Pode ser que ele estivesse junto do carrinho na contagem, mas pertence à reserva.</t>
  </si>
  <si>
    <t xml:space="preserve">1) Confirme que o equipamento (N/S NXH0HAL001830D18D69501) está mesmo no Carrinho 03.
2) Se estiver: atualizar a localização no sistema (hoje: CARRINHO RESERVA).
3) Se não estiver: foi erro na contagem. Descubra de qual carrinho ele é e corrija a lista.</t>
  </si>
  <si>
    <t xml:space="preserve">NXG54AL00274817ADF7600</t>
  </si>
  <si>
    <t xml:space="preserve">Está cadastrado no Carrinho 03 (Acer branco), mas nenhum computador do Word tem esse N/S. Hipótese, pelo que você contou: está com um professor que trocou o branco pelo cinza.</t>
  </si>
  <si>
    <t xml:space="preserve">1) Procure o equipamento de N/S NXG54AL00274817ADF7600.
2) Se achar em outro carrinho ou na manutenção: atualizar a localização no sistema.
3) Se não achar em lugar nenhum: registrar como não localizado.</t>
  </si>
  <si>
    <t xml:space="preserve">NXG54AL0027430659B7600</t>
  </si>
  <si>
    <t xml:space="preserve">1) Procure o equipamento de N/S NXG54AL0027430659B7600.
2) Se achar em outro carrinho ou na manutenção: atualizar a localização no sistema.
3) Se não achar em lugar nenhum: registrar como não localizado.</t>
  </si>
  <si>
    <t xml:space="preserve">09S29QBR711970</t>
  </si>
  <si>
    <t xml:space="preserve">Está cadastrado no Carrinho 03, mas é um Samsung Chromebook 4 cinza (não um Acer branco) e não está no Word. Hipótese: é o cinza que um professor recebeu na troca pelo branco. Conferir com quem ele está. Ele aparece no Word dos Chromebooks quebrados (computador 7), então provavelmente está lá e só falta atualizar a localização no sistema.</t>
  </si>
  <si>
    <t xml:space="preserve">1) Procure o equipamento de N/S 09S29QBR711970.
2) Se achar em outro carrinho ou na manutenção: atualizar a localização no sistema.
3) Se não achar em lugar nenhum: registrar como não localizado.</t>
  </si>
  <si>
    <t xml:space="preserve">Carrinho 04</t>
  </si>
  <si>
    <t xml:space="preserve">NXH0HAL001830D1FAB9501</t>
  </si>
  <si>
    <t xml:space="preserve">O N/S existe no sistema, mas o cadastro diz que ele está no Carrinho 01 ( AZUL). Como o Word do Carrinho 01 não lista este N/S, ele provavelmente está mesmo no Carrinho 04 e só falta atualizar o cadastro.</t>
  </si>
  <si>
    <t xml:space="preserve">1) Confirme que o equipamento (N/S NXH0HAL001830D1FAB9501) está mesmo no Carrinho 04.
2) Se estiver: atualizar a localização no sistema (hoje: Carrinho 01 ( AZUL)).
3) Se não estiver: foi erro na contagem. Descubra de qual carrinho ele é e corrija a lista.</t>
  </si>
  <si>
    <t xml:space="preserve">NXH0HAL001838BE691A9501</t>
  </si>
  <si>
    <t xml:space="preserve">NXH0HAL001838E691A9501</t>
  </si>
  <si>
    <t xml:space="preserve">Foi ditado NXH0HAL001838BE691A9501, com 23 caracteres (um B a mais). No sistema o Carrinho 04 tem NXH0HAL001838E691A9501. Deve ser o mesmo equipamento.</t>
  </si>
  <si>
    <t xml:space="preserve">1) Olhe a etiqueta do computador 9 do Carrinho 04.
2) Se o N/S for NXH0HAL001838E691A9501: foi só erro de ditado. O sistema está certo; corrija o número na planilha.
3) Se o N/S for outro (como NXH0HAL001838BE691A9501): o cadastro do sistema está errado. Avisar quem mantém o sistema.</t>
  </si>
  <si>
    <t xml:space="preserve">NXH0HAL001832DC459501</t>
  </si>
  <si>
    <t xml:space="preserve">NXH0HAL001832D5C459501</t>
  </si>
  <si>
    <t xml:space="preserve">Foi ditado NXH0HAL001832DC459501, com 21 caracteres (falta o 5). No sistema o Carrinho 04 tem NXH0HAL001832D5C459501. Deve ser o mesmo equipamento.</t>
  </si>
  <si>
    <t xml:space="preserve">1) Olhe a etiqueta do computador 12 do Carrinho 04.
2) Se o N/S for NXH0HAL001832D5C459501: foi só erro de ditado. O sistema está certo; corrija o número na planilha.
3) Se o N/S for outro (como NXH0HAL001832DC459501): o cadastro do sistema está errado. Avisar quem mantém o sistema.</t>
  </si>
  <si>
    <t xml:space="preserve">NXH0HAL00183BE76A19501</t>
  </si>
  <si>
    <t xml:space="preserve">NXH0HAL001838E76A19501</t>
  </si>
  <si>
    <t xml:space="preserve">Foi ditado NXH0HAL00183BE76A19501, com B no lugar de 8. No sistema o Carrinho 04 tem NXH0HAL001838E76A19501. Deve ser o mesmo equipamento.</t>
  </si>
  <si>
    <t xml:space="preserve">1) Olhe a etiqueta do computador 17 do Carrinho 04.
2) Se o N/S for NXH0HAL001838E76A19501: foi só erro de ditado. O sistema está certo; corrija o número na planilha.
3) Se o N/S for outro (como NXH0HAL00183BE76A19501): o cadastro do sistema está errado. Avisar quem mantém o sistema.</t>
  </si>
  <si>
    <t xml:space="preserve">NXH0HAL00183BE693B9501</t>
  </si>
  <si>
    <t xml:space="preserve">NXH0HAL001838E69389501</t>
  </si>
  <si>
    <t xml:space="preserve">Foi ditado NXH0HAL00183BE693B9501, com dois B no lugar de 8. No sistema o Carrinho 04 tem NXH0HAL001838E69389501. Deve ser o mesmo equipamento.</t>
  </si>
  <si>
    <t xml:space="preserve">1) Olhe a etiqueta do computador 20 do Carrinho 04.
2) Se o N/S for NXH0HAL001838E69389501: foi só erro de ditado. O sistema está certo; corrija o número na planilha.
3) Se o N/S for outro (como NXH0HAL00183BE693B9501): o cadastro do sistema está errado. Avisar quem mantém o sistema.</t>
  </si>
  <si>
    <t xml:space="preserve">NXH0HAL001838E68629501</t>
  </si>
  <si>
    <t xml:space="preserve">Carrinho 09 - BORDÔ</t>
  </si>
  <si>
    <t xml:space="preserve">O N/S existe no sistema, mas o cadastro diz que ele está no Carrinho 09 - BORDÔ. Pode ter mudado de carrinho sem atualizar o sistema, ou ter sido trocado por outro equipamento do Carrinho 04.</t>
  </si>
  <si>
    <t xml:space="preserve">1) Confirme que o equipamento (N/S NXH0HAL001838E68629501) está mesmo no Carrinho 04.
2) Se estiver: atualizar a localização no sistema (hoje: Carrinho 09 - BORDÔ).
3) Se não estiver: foi erro na contagem. Descubra de qual carrinho ele é e corrija a lista.</t>
  </si>
  <si>
    <t xml:space="preserve">NXH0HAL001838E74D9501</t>
  </si>
  <si>
    <t xml:space="preserve">NXH0HAL001838E748D9501</t>
  </si>
  <si>
    <t xml:space="preserve">Foi ditado NXH0HAL001838E74D9501, com 21 caracteres (falta o 8). No sistema o Carrinho 04 tem NXH0HAL001838E748D9501. Deve ser o mesmo equipamento.</t>
  </si>
  <si>
    <t xml:space="preserve">1) Olhe a etiqueta do computador 23 do Carrinho 04.
2) Se o N/S for NXH0HAL001838E748D9501: foi só erro de ditado. O sistema está certo; corrija o número na planilha.
3) Se o N/S for outro (como NXH0HAL001838E74D9501): o cadastro do sistema está errado. Avisar quem mantém o sistema.</t>
  </si>
  <si>
    <t xml:space="preserve">NXH0HAL001838E69669501</t>
  </si>
  <si>
    <t xml:space="preserve">Está cadastrado no Carrinho 04, mas nenhum computador do Word tem esse N/S. Ele também não está no Word do Carrinho 01. Hipótese: foi trocado de carrinho com o computador 21 do Word, cadastrado no Carrinho 09. Confira quando chegar ao Carrinho 09. Ele aparece no Word dos Chromebooks quebrados (computador 17), então provavelmente está lá e só falta atualizar a localização no sistema.</t>
  </si>
  <si>
    <t xml:space="preserve">1) Procure o equipamento de N/S NXH0HAL001838E69669501.
2) Se achar em outro carrinho ou na manutenção: atualizar a localização no sistema.
3) Se não achar em lugar nenhum: registrar como não localizado.</t>
  </si>
  <si>
    <t xml:space="preserve">Carrinho 05</t>
  </si>
  <si>
    <t xml:space="preserve">09S29QANC07347V</t>
  </si>
  <si>
    <t xml:space="preserve">O N/S existe no sistema, mas o cadastro diz que ele está no Carrinho 12 - OCRE. Como o Word do Carrinho 12 também não lista este N/S, ele provavelmente está mesmo no Carrinho 05 e só falta atualizar o cadastro.</t>
  </si>
  <si>
    <t xml:space="preserve">1) Confirme que o equipamento (N/S 09S29QANC07347) está mesmo no Carrinho 05.
2) Se estiver: atualizar a localização no sistema (hoje: Carrinho 12 - OCRE ).
3) Se não estiver: foi erro na contagem. Descubra de qual carrinho ele é e corrija a lista.</t>
  </si>
  <si>
    <t xml:space="preserve">09S29QAR109513J</t>
  </si>
  <si>
    <t xml:space="preserve">Está cadastrado no Carrinho 05, mas nenhum computador do Word tem esse N/S. Ele também não está no Word do Carrinho 12. Hipótese: está com um professor que trocou o Chromebook branco pelo cinza, ou em um carrinho que ainda não foi conferido. Ele aparece no Word dos Chromebooks quebrados (computador 14), então provavelmente está lá e só falta atualizar a localização no sistema.</t>
  </si>
  <si>
    <t xml:space="preserve">1) Procure o equipamento de N/S 09S29QAR109513J.
2) Se achar em outro carrinho ou na manutenção: atualizar a localização no sistema.
3) Se não achar em lugar nenhum: registrar como não localizado.</t>
  </si>
  <si>
    <t xml:space="preserve">Carrinho 07</t>
  </si>
  <si>
    <t xml:space="preserve">09S29QBR712609M</t>
  </si>
  <si>
    <t xml:space="preserve">09S29QBR712609</t>
  </si>
  <si>
    <t xml:space="preserve">Não Alocado</t>
  </si>
  <si>
    <t xml:space="preserve">O N/S existe no sistema, mas o cadastro diz que ele está em outro lugar (Não Alocado). Provavelmente o equipamento foi colocado no carrinho e a localização não foi atualizada.</t>
  </si>
  <si>
    <t xml:space="preserve">1) Confirme que o equipamento (N/S 09S29QBR712609) está mesmo no Carrinho 07.
2) Se estiver: atualizar a localização no sistema (hoje: Não Alocado).
3) Se não estiver: foi erro na contagem. Descubra de qual carrinho ele é e corrija a lista.</t>
  </si>
  <si>
    <t xml:space="preserve">09S29QBR096225X</t>
  </si>
  <si>
    <t xml:space="preserve">09S29QBR906225</t>
  </si>
  <si>
    <t xml:space="preserve">Foi ditado 096225, mas no sistema o Carrinho 07 tem 906225 (o 0 e o 9 trocaram de lugar). Deve ser o mesmo equipamento.</t>
  </si>
  <si>
    <t xml:space="preserve">1) Olhe a etiqueta do computador 10 do Carrinho 07.
2) Se o N/S for 09S29QBR906225: foi só erro de ditado. O sistema está certo; corrija o número na planilha.
3) Se o N/S for outro (como 09S29QBR096225X): o cadastro do sistema está errado. Avisar quem mantém o sistema.</t>
  </si>
  <si>
    <t xml:space="preserve">09S29QBR702099V</t>
  </si>
  <si>
    <t xml:space="preserve">09S29QBR702099</t>
  </si>
  <si>
    <t xml:space="preserve">O N/S existe no sistema, mas o cadastro diz que ele está no Carrinho 13 - CIANO. Ou o equipamento mudou de carrinho e o sistema não foi atualizado, ou a contagem pegou um equipamento de outro carrinho.</t>
  </si>
  <si>
    <t xml:space="preserve">1) Confirme que o equipamento (N/S 09S29QBR702099) está mesmo no Carrinho 07.
2) Se estiver: atualizar a localização no sistema (hoje: Carrinho 13 - CIANO).
3) Se não estiver: foi erro na contagem. Descubra de qual carrinho ele é e corrija a lista.</t>
  </si>
  <si>
    <t xml:space="preserve">09S29QB906223V</t>
  </si>
  <si>
    <t xml:space="preserve">09S29QBR906223</t>
  </si>
  <si>
    <t xml:space="preserve">Foi ditado 'qb 9 06223', sem o R. No sistema o Carrinho 07 tem QBR906223. Deve ser o mesmo equipamento.</t>
  </si>
  <si>
    <t xml:space="preserve">1) Olhe a etiqueta do computador 17 do Carrinho 07.
2) Se o N/S for 09S29QBR906223: foi só erro de ditado. O sistema está certo; corrija o número na planilha.
3) Se o N/S for outro (como 09S29QB906223V): o cadastro do sistema está errado. Avisar quem mantém o sistema.</t>
  </si>
  <si>
    <t xml:space="preserve">09S29QANC07195B</t>
  </si>
  <si>
    <t xml:space="preserve">09S29QANC07195D</t>
  </si>
  <si>
    <t xml:space="preserve">O número bate com o sistema, mas a letra final do ditado (B) é diferente da do sistema (D).</t>
  </si>
  <si>
    <t xml:space="preserve">1) Olhe a última letra da etiqueta do computador 23 do Carrinho 07.
2) Se for a do sistema: foi erro de ditado, corrija a letra na planilha.
3) Se for a do ditado: o cadastro do sistema está errado. Avisar quem mantém o sistema.</t>
  </si>
  <si>
    <t xml:space="preserve">09S29QUEBR811879T</t>
  </si>
  <si>
    <t xml:space="preserve">09S29QBR811879</t>
  </si>
  <si>
    <t xml:space="preserve">Foi ditado 'que BR 811879' (o ditado entendeu QUEBR). No sistema o Carrinho 07 tem QBR811879. Deve ser o mesmo equipamento.</t>
  </si>
  <si>
    <t xml:space="preserve">1) Olhe a etiqueta do computador 31 do Carrinho 07.
2) Se o N/S for 09S29QBR811879: foi só erro de ditado. O sistema está certo; corrija o número na planilha.
3) Se o N/S for outro (como 09S29QUEBR811879T): o cadastro do sistema está errado. Avisar quem mantém o sistema.</t>
  </si>
  <si>
    <t xml:space="preserve">Carrinho 08</t>
  </si>
  <si>
    <t xml:space="preserve">09S29QBR700216N</t>
  </si>
  <si>
    <t xml:space="preserve">09S29QAR700216</t>
  </si>
  <si>
    <t xml:space="preserve">Foi ditado QBR700216, mas no sistema o Carrinho 08 tem QAR700216 (QAR no lugar de QBR). Pode ser erro de ditado ou erro de digitação no cadastro.</t>
  </si>
  <si>
    <t xml:space="preserve">1) Olhe a etiqueta do computador 1 do Carrinho 08.
2) Se o N/S for 09S29QAR700216: foi só erro de ditado. O sistema está certo; corrija o número na planilha.
3) Se o N/S for outro (como 09S29QBR700216N): o cadastro do sistema está errado. Avisar quem mantém o sistema.</t>
  </si>
  <si>
    <t xml:space="preserve">09S29QBR011410F</t>
  </si>
  <si>
    <t xml:space="preserve">09S29QBR811410</t>
  </si>
  <si>
    <t xml:space="preserve">Foi ditado 011410, mas no sistema o Carrinho 08 tem 811410 (0 no lugar de 8). Provável erro de ditado.</t>
  </si>
  <si>
    <t xml:space="preserve">1) Olhe a etiqueta do computador 8 do Carrinho 08.
2) Se o N/S for 09S29QBR811410: foi só erro de ditado. O sistema está certo; corrija o número na planilha.
3) Se o N/S for outro (como 09S29QBR011410F): o cadastro do sistema está errado. Avisar quem mantém o sistema.</t>
  </si>
  <si>
    <t xml:space="preserve">09S29QBR812708M</t>
  </si>
  <si>
    <t xml:space="preserve">09S29QBR812708</t>
  </si>
  <si>
    <t xml:space="preserve">O N/S existe no sistema, mas o cadastro diz que ele está no Carrinho 11 - PRETO. Pode ter mudado de carrinho sem atualizar o sistema.</t>
  </si>
  <si>
    <t xml:space="preserve">1) Confirme que o equipamento (N/S 09S29QBR812708) está mesmo no Carrinho 08.
2) Se estiver: atualizar a localização no sistema (hoje: Carrinho 11 - PRETO).
3) Se não estiver: foi erro na contagem. Descubra de qual carrinho ele é e corrija a lista.</t>
  </si>
  <si>
    <t xml:space="preserve">09S29QAR110966J</t>
  </si>
  <si>
    <t xml:space="preserve">Está cadastrado no Carrinho 08, mas nenhum computador do Word tem esse N/S. Pode estar em outro carrinho, na manutenção ou faltando. Hipótese: foi trocado de carrinho com o 812708M (computador 10 do Carrinho 08, cadastrado no Carrinho 11). Confira isso quando fizer o Carrinho 11. Ele aparece no Word dos Chromebooks quebrados (computador 4), então provavelmente está lá e só falta atualizar a localização no sistema.</t>
  </si>
  <si>
    <t xml:space="preserve">1) Procure o equipamento de N/S 09S29QAR110966J.
2) Se achar em outro carrinho ou na manutenção: atualizar a localização no sistema.
3) Se não achar em lugar nenhum: registrar como não localizado.</t>
  </si>
  <si>
    <t xml:space="preserve">Carrinho 10</t>
  </si>
  <si>
    <t xml:space="preserve">09S29QBR722559</t>
  </si>
  <si>
    <t xml:space="preserve">Está cadastrado no Carrinho 10, mas nenhum computador do Word tem esse N/S (o Word tem 24 Chromebooks e o sistema tem 26). Hipótese: é um dos Samsung cinza entregues aos professores na troca pelo branco, como o 09S29QBR711970 do Carrinho 03. Confira com os professores.</t>
  </si>
  <si>
    <t xml:space="preserve">1) Procure o equipamento de N/S 09S29QBR722559.
2) Se achar em outro carrinho ou na manutenção: atualizar a localização no sistema.
3) Se não achar em lugar nenhum: registrar como não localizado.</t>
  </si>
  <si>
    <t xml:space="preserve">09S29QBR702226</t>
  </si>
  <si>
    <t xml:space="preserve">Está cadastrado no Carrinho 10, mas nenhum computador do Word tem esse N/S (o Word tem 24 Chromebooks e o sistema tem 26). Hipótese: é um dos Samsung cinza entregues aos professores na troca pelo branco, como o 09S29QBR711970 do Carrinho 03. Confira com os professores. Ele aparece no Word dos Chromebooks quebrados (computador 6), então provavelmente está lá e só falta atualizar a localização no sistema.</t>
  </si>
  <si>
    <t xml:space="preserve">1) Procure o equipamento de N/S 09S29QBR702226.
2) Se achar em outro carrinho ou na manutenção: atualizar a localização no sistema.
3) Se não achar em lugar nenhum: registrar como não localizado.</t>
  </si>
  <si>
    <t xml:space="preserve">Carrinho 12</t>
  </si>
  <si>
    <t xml:space="preserve">NXH0HAL001838E68C9501</t>
  </si>
  <si>
    <t xml:space="preserve">NXH0HAL001838E68C29501</t>
  </si>
  <si>
    <t xml:space="preserve">Foi ditado NXH0HAL001838E68C9501, com 21 caracteres (falta o 2). No sistema o Carrinho 12 tem NXH0HAL001838E68C29501. Deve ser o mesmo equipamento.</t>
  </si>
  <si>
    <t xml:space="preserve">1) Olhe a etiqueta do computador 1 do Carrinho 12.
2) Se o N/S for NXH0HAL001838E68C29501: foi só erro de ditado. O sistema está certo; corrija o número na planilha.
3) Se o N/S for outro (como NXH0HAL001838E68C9501): o cadastro do sistema está errado. Avisar quem mantém o sistema.</t>
  </si>
  <si>
    <t xml:space="preserve">NXH0HAL001830EDC819501</t>
  </si>
  <si>
    <t xml:space="preserve">NXH0HAL001839EDC819501</t>
  </si>
  <si>
    <t xml:space="preserve">Foi ditado NXH0HAL001830EDC819501, com 0 no lugar de 9. No sistema o Carrinho 12 tem NXH0HAL001839EDC819501. Deve ser o mesmo equipamento.</t>
  </si>
  <si>
    <t xml:space="preserve">1) Olhe a etiqueta do computador 12 do Carrinho 12.
2) Se o N/S for NXH0HAL001839EDC819501: foi só erro de ditado. O sistema está certo; corrija o número na planilha.
3) Se o N/S for outro (como NXH0HAL001830EDC819501): o cadastro do sistema está errado. Avisar quem mantém o sistema.</t>
  </si>
  <si>
    <t xml:space="preserve">NXH0HAL001838E7BC19501</t>
  </si>
  <si>
    <t xml:space="preserve">Está cadastrado no Carrinho 12, mas nenhum computador do Word tem esse N/S. Pode estar em outro carrinho que ainda não foi conferido ou ter mudado de lugar sem atualizar o sistema. Confira quando chegar aos carrinhos 09, 11 e 13. Ele aparece no Word dos Chromebooks quebrados (computador 27), então provavelmente está lá e só falta atualizar a localização no sistema.</t>
  </si>
  <si>
    <t xml:space="preserve">1) Procure o equipamento de N/S NXH0HAL001838E7BC19501.
2) Se achar em outro carrinho ou na manutenção: atualizar a localização no sistema.
3) Se não achar em lugar nenhum: registrar como não localizado.</t>
  </si>
  <si>
    <t xml:space="preserve">NXH0HAL001838E71669501</t>
  </si>
  <si>
    <t xml:space="preserve">Está cadastrado no Carrinho 12, mas nenhum computador do Word tem esse N/S. Pode estar em outro carrinho que ainda não foi conferido ou ter mudado de lugar sem atualizar o sistema. Confira quando chegar aos carrinhos 09, 11 e 13. Ele aparece no Word dos Chromebooks quebrados (computador 24), então provavelmente está lá e só falta atualizar a localização no sistema.</t>
  </si>
  <si>
    <t xml:space="preserve">1) Procure o equipamento de N/S NXH0HAL001838E71669501.
2) Se achar em outro carrinho ou na manutenção: atualizar a localização no sistema.
3) Se não achar em lugar nenhum: registrar como não localizado.</t>
  </si>
  <si>
    <t xml:space="preserve">NXH0HAL001838E76A89501</t>
  </si>
  <si>
    <t xml:space="preserve">Está cadastrado no Carrinho 12, mas nenhum computador do Word tem esse N/S. Pode estar em outro carrinho que ainda não foi conferido ou ter mudado de lugar sem atualizar o sistema. Confira quando chegar aos carrinhos 09, 11 e 13. Ele aparece no Word dos Chromebooks quebrados (computador 19), então provavelmente está lá e só falta atualizar a localização no sistema.</t>
  </si>
  <si>
    <t xml:space="preserve">1) Procure o equipamento de N/S NXH0HAL001838E76A89501.
2) Se achar em outro carrinho ou na manutenção: atualizar a localização no sistema.
3) Se não achar em lugar nenhum: registrar como não localizado.</t>
  </si>
  <si>
    <t xml:space="preserve">Carrinho 11</t>
  </si>
  <si>
    <t xml:space="preserve">Está cadastrado no Carrinho 11, mas nenhum computador do Word tem esse N/S. Pode estar com um professor (troca do branco pelo cinza) ou em um carrinho ainda não conferido (09, 13, reserva). Confira fisicamente.</t>
  </si>
  <si>
    <t xml:space="preserve">1) Procure o equipamento de N/S 09S29QBR812708.
2) Se achar em outro carrinho ou na manutenção: atualizar a localização no sistema.
3) Se não achar em lugar nenhum: registrar como não localizado.</t>
  </si>
  <si>
    <t xml:space="preserve">09S29QBR712220</t>
  </si>
  <si>
    <t xml:space="preserve">Está cadastrado no Carrinho 11, mas nenhum computador do Word tem esse N/S. Pode estar com um professor (troca do branco pelo cinza) ou em um carrinho ainda não conferido (09, 13, reserva). Confira fisicamente. Ele aparece no Word dos Chromebooks quebrados (computador 3), então provavelmente está lá e só falta atualizar a localização no sistema.</t>
  </si>
  <si>
    <t xml:space="preserve">1) Procure o equipamento de N/S 09S29QBR712220.
2) Se achar em outro carrinho ou na manutenção: atualizar a localização no sistema.
3) Se não achar em lugar nenhum: registrar como não localizado.</t>
  </si>
  <si>
    <t xml:space="preserve">Carrinho Reserva</t>
  </si>
  <si>
    <t xml:space="preserve">O N/S existe no sistema, mas o cadastro diz que ele está no Carrinho 01 ( AZUL). Como o Word do Carrinho 01 não lista este N/S, ele provavelmente está na reserva e só falta atualizar a localização.</t>
  </si>
  <si>
    <t xml:space="preserve">1) Confirme que o equipamento (N/S NXH0HAL001832D69D59501) está mesmo no Carrinho Reserva.
2) Se estiver: atualizar a localização no sistema (hoje: Carrinho 01 ( AZUL)).
3) Se não estiver: foi erro na contagem. Descubra de qual carrinho ele é e corrija a lista.</t>
  </si>
  <si>
    <t xml:space="preserve">NXH0HAL001839ED8399501</t>
  </si>
  <si>
    <t xml:space="preserve">O N/S existe no sistema, mas o cadastro diz que ele está como Não Alocado. Provavelmente o equipamento está na reserva e a localização não foi atualizada.</t>
  </si>
  <si>
    <t xml:space="preserve">1) Confirme que o equipamento (N/S NXH0HAL001839ED8399501) está mesmo no Carrinho Reserva.
2) Se estiver: atualizar a localização no sistema (hoje: Não Alocado).
3) Se não estiver: foi erro na contagem. Descubra de qual carrinho ele é e corrija a lista.</t>
  </si>
  <si>
    <t xml:space="preserve">Está cadastrado na reserva, mas nenhum computador do Word tem esse N/S. É um Acer com N/S parecido com o do computador 2 do Word (NXH0HAL001830D1F789501), que também está no sistema: confira se são dois equipamentos ou se um foi ditado errado.</t>
  </si>
  <si>
    <t xml:space="preserve">1) Procure o equipamento de N/S NXH0HAL001830D18D69501.
2) Se achar em outro carrinho ou na manutenção: atualizar a localização no sistema.
3) Se não achar em lugar nenhum: registrar como não localizado.</t>
  </si>
  <si>
    <t xml:space="preserve">09S29QAR110887M</t>
  </si>
  <si>
    <t xml:space="preserve">Está cadastrado na reserva, mas nenhum computador do Word tem esse N/S. Pode estar com um professor ou em outro carrinho ainda não conferido. Confira fisicamente. Ele aparece no Word dos Chromebooks quebrados (computador 1), então provavelmente está lá e só falta atualizar a localização no sistema.</t>
  </si>
  <si>
    <t xml:space="preserve">1) Procure o equipamento de N/S 09S29QAR110887M.
2) Se achar em outro carrinho ou na manutenção: atualizar a localização no sistema.
3) Se não achar em lugar nenhum: registrar como não localizado.</t>
  </si>
  <si>
    <t xml:space="preserve">09S29QBNC00260N</t>
  </si>
  <si>
    <t xml:space="preserve">Está cadastrado na reserva, mas nenhum computador do Word tem esse N/S. Pode estar com um professor ou em outro carrinho ainda não conferido. Confira fisicamente. Ele aparece no Word dos Chromebooks quebrados (computador 2), então provavelmente está lá e só falta atualizar a localização no sistema.</t>
  </si>
  <si>
    <t xml:space="preserve">1) Procure o equipamento de N/S 09S29QBNC00260N.
2) Se achar em outro carrinho ou na manutenção: atualizar a localização no sistema.
3) Se não achar em lugar nenhum: registrar como não localizado.</t>
  </si>
  <si>
    <t xml:space="preserve">Carrinho 13 (quebrados)</t>
  </si>
  <si>
    <t xml:space="preserve">09S29QAR150922B</t>
  </si>
  <si>
    <t xml:space="preserve">09S29QAR110922E</t>
  </si>
  <si>
    <t xml:space="preserve">Foi ditado 09S29QAR150922B. No sistema o Carrinho 13 - CIANO tem 09S29QAR110922E, que não aparece em nenhum outro Word: difere por um dígito (5 no lugar de 1) e pela letra final (B no lugar de E). Provável erro de ditado: conferir a etiqueta.</t>
  </si>
  <si>
    <t xml:space="preserve">1) Olhe a etiqueta do computador 11 do Carrinho 13 (quebrados).
2) Se o N/S for 09S29QAR110922E: foi só erro de ditado. O sistema está certo; corrija o número na planilha.
3) Se o N/S for outro (como 09S29QAR150922B): o cadastro do sistema está errado. Avisar quem mantém o sistema.</t>
  </si>
  <si>
    <t xml:space="preserve">09S29QAR1111000</t>
  </si>
  <si>
    <t xml:space="preserve">09S29QAR111100D</t>
  </si>
  <si>
    <t xml:space="preserve">O número bate com o sistema, mas a letra final do ditado (0, zero) é diferente da do sistema (D). Provável erro de ditado: conferir a etiqueta.</t>
  </si>
  <si>
    <t xml:space="preserve">1) Olhe a última letra da etiqueta do computador 15 do Carrinho 13 (quebrados).
2) Se for a do sistema: foi erro de ditado, corrija a letra na planilha.
3) Se for a do ditado: o cadastro do sistema está errado. Avisar quem mantém o sistema.</t>
  </si>
  <si>
    <t xml:space="preserve">Está cadastrado no Carrinho 13 - CIANO, mas nenhum computador do Word dos quebrados tem esse N/S, e ele também não apareceu em nenhum outro Word. Pode estar com um professor ou ter sido descartado sem baixa no sistema. Confira fisicamente.</t>
  </si>
  <si>
    <t xml:space="preserve">1) Procure o equipamento de N/S 09S29QBR702099.
2) Se achar em outro carrinho ou na manutenção: atualizar a localização no sistema.
3) Se não achar em lugar nenhum: registrar como não localizado.</t>
  </si>
  <si>
    <t xml:space="preserve">O N/S existe no sistema, mas o cadastro diz que ele está em 'CARRINHO RESERVA'. Ele foi encontrado no carrinho dos Chromebooks quebrados (lista que você ditou como 'ciano'). Provavelmente foi retirado de lá e a localização não foi atualizada no sistema.</t>
  </si>
  <si>
    <t xml:space="preserve">1) Confirme que o equipamento (N/S 09S29QAR110887) está mesmo no Carrinho 13 (quebrados).
2) Se estiver: atualizar a localização no sistema (hoje: CARRINHO RESERVA).
3) Se não estiver: foi erro na contagem. Descubra de qual carrinho ele é e corrija a lista.</t>
  </si>
  <si>
    <t xml:space="preserve">1) Confirme que o equipamento (N/S 09S29QBNC00260) está mesmo no Carrinho 13 (quebrados).
2) Se estiver: atualizar a localização no sistema (hoje: CARRINHO RESERVA).
3) Se não estiver: foi erro na contagem. Descubra de qual carrinho ele é e corrija a lista.</t>
  </si>
  <si>
    <t xml:space="preserve">09S29QBR712220W</t>
  </si>
  <si>
    <t xml:space="preserve">O N/S existe no sistema, mas o cadastro diz que ele está em 'Carrinho 11 - PRETO'. Ele foi encontrado no carrinho dos Chromebooks quebrados (lista que você ditou como 'ciano'). Provavelmente foi retirado de lá e a localização não foi atualizada no sistema.</t>
  </si>
  <si>
    <t xml:space="preserve">1) Confirme que o equipamento (N/S 09S29QBR712220) está mesmo no Carrinho 13 (quebrados).
2) Se estiver: atualizar a localização no sistema (hoje: Carrinho 11 - PRETO).
3) Se não estiver: foi erro na contagem. Descubra de qual carrinho ele é e corrija a lista.</t>
  </si>
  <si>
    <t xml:space="preserve">O N/S existe no sistema, mas o cadastro diz que ele está em 'Carrinho 08 - CINZA'. Ele foi encontrado no carrinho dos Chromebooks quebrados (lista que você ditou como 'ciano'). Provavelmente foi retirado de lá e a localização não foi atualizada no sistema.</t>
  </si>
  <si>
    <t xml:space="preserve">1) Confirme que o equipamento (N/S 09S29QAR110966) está mesmo no Carrinho 13 (quebrados).
2) Se estiver: atualizar a localização no sistema (hoje: Carrinho 08 - CINZA).
3) Se não estiver: foi erro na contagem. Descubra de qual carrinho ele é e corrija a lista.</t>
  </si>
  <si>
    <t xml:space="preserve">09S29QBR702226H</t>
  </si>
  <si>
    <t xml:space="preserve">O N/S existe no sistema, mas o cadastro diz que ele está em 'Carrinho 10 - MARROM'. Ele foi encontrado no carrinho dos Chromebooks quebrados (lista que você ditou como 'ciano'). Provavelmente foi retirado de lá e a localização não foi atualizada no sistema.</t>
  </si>
  <si>
    <t xml:space="preserve">1) Confirme que o equipamento (N/S 09S29QBR702226) está mesmo no Carrinho 13 (quebrados).
2) Se estiver: atualizar a localização no sistema (hoje: Carrinho 10 - MARROM).
3) Se não estiver: foi erro na contagem. Descubra de qual carrinho ele é e corrija a lista.</t>
  </si>
  <si>
    <t xml:space="preserve">09S29QBR711970X</t>
  </si>
  <si>
    <t xml:space="preserve">O N/S existe no sistema, mas o cadastro diz que ele está em 'Carrinho 03  ( VERMELHO - CHROME R11 - ED. IN'. Ele foi encontrado no carrinho dos Chromebooks quebrados (lista que você ditou como 'ciano'). Provavelmente foi retirado de lá e a localização não foi atualizada no sistema.</t>
  </si>
  <si>
    <t xml:space="preserve">1) Confirme que o equipamento (N/S 09S29QBR711970) está mesmo no Carrinho 13 (quebrados).
2) Se estiver: atualizar a localização no sistema (hoje: Carrinho 03  ( VERMELHO - CHROME R11 - ED. IN).
3) Se não estiver: foi erro na contagem. Descubra de qual carrinho ele é e corrija a lista.</t>
  </si>
  <si>
    <t xml:space="preserve">09S29QAR110716H</t>
  </si>
  <si>
    <t xml:space="preserve">MANUTENÇÃO - 2025 -SALA COFRE </t>
  </si>
  <si>
    <t xml:space="preserve">O N/S existe no sistema, mas o cadastro diz que ele está em 'MANUTENÇÃO - 2025 -SALA COFRE'. Ele foi encontrado no carrinho dos Chromebooks quebrados (lista que você ditou como 'ciano'). Provavelmente foi retirado de lá e a localização não foi atualizada no sistema.</t>
  </si>
  <si>
    <t xml:space="preserve">1) Confirme que o equipamento (N/S 09S29QAR110716) está mesmo no Carrinho 13 (quebrados).
2) Se estiver: atualizar a localização no sistema (hoje: MANUTENÇÃO - 2025 -SALA COFRE ).
3) Se não estiver: foi erro na contagem. Descubra de qual carrinho ele é e corrija a lista.</t>
  </si>
  <si>
    <t xml:space="preserve">09S29QBR707480M</t>
  </si>
  <si>
    <t xml:space="preserve">09S29QBR707480</t>
  </si>
  <si>
    <t xml:space="preserve">O N/S existe no sistema, mas o cadastro diz que ele está em 'Carrinho 10 - MARROM'. Ele foi encontrado no carrinho dos Chromebooks quebrados (lista que você ditou como 'ciano'). Provavelmente foi retirado de lá e a localização não foi atualizada no sistema. ATENÇÃO: o Word do Carrinho 10 (computador 14) tem o mesmo número 09S29QBR707480, mas com a letra final N; aqui foi ditado M. Provavelmente é o mesmo equipamento contado duas vezes (ou a letra foi ditada errado em um dos Words): confira a etiqueta.</t>
  </si>
  <si>
    <t xml:space="preserve">1) Confirme que o equipamento (N/S 09S29QBR707480) está mesmo no Carrinho 13 (quebrados).
2) Se estiver: atualizar a localização no sistema (hoje: Carrinho 10 - MARROM).
3) Se não estiver: foi erro na contagem. Descubra de qual carrinho ele é e corrija a lista.</t>
  </si>
  <si>
    <t xml:space="preserve">O N/S existe no sistema, mas o cadastro diz que ele está em 'Carrinho 05 ( ROXO)'. Ele foi encontrado no carrinho dos Chromebooks quebrados (lista que você ditou como 'ciano'). Provavelmente foi retirado de lá e a localização não foi atualizada no sistema.</t>
  </si>
  <si>
    <t xml:space="preserve">1) Confirme que o equipamento (N/S 09S29QAR109513) está mesmo no Carrinho 13 (quebrados).
2) Se estiver: atualizar a localização no sistema (hoje: Carrinho 05 ( ROXO)).
3) Se não estiver: foi erro na contagem. Descubra de qual carrinho ele é e corrija a lista.</t>
  </si>
  <si>
    <t xml:space="preserve">O N/S existe no sistema, mas o cadastro diz que ele está em 'Carrinho 04 ( LARANJA )'. Ele foi encontrado no carrinho dos Chromebooks quebrados (lista que você ditou como 'ciano'). Provavelmente foi retirado de lá e a localização não foi atualizada no sistema.</t>
  </si>
  <si>
    <t xml:space="preserve">1) Confirme que o equipamento (N/S NXH0HAL001838E69669501) está mesmo no Carrinho 13 (quebrados).
2) Se estiver: atualizar a localização no sistema (hoje: Carrinho 04 ( LARANJA )).
3) Se não estiver: foi erro na contagem. Descubra de qual carrinho ele é e corrija a lista.</t>
  </si>
  <si>
    <t xml:space="preserve">O N/S existe no sistema, mas o cadastro diz que ele está em 'Carrinho 12 - OCRE'. Ele foi encontrado no carrinho dos Chromebooks quebrados (lista que você ditou como 'ciano'). Provavelmente foi retirado de lá e a localização não foi atualizada no sistema.</t>
  </si>
  <si>
    <t xml:space="preserve">1) Confirme que o equipamento (N/S NXH0HAL001838E76A89501) está mesmo no Carrinho 13 (quebrados).
2) Se estiver: atualizar a localização no sistema (hoje: Carrinho 12 - OCRE ).
3) Se não estiver: foi erro na contagem. Descubra de qual carrinho ele é e corrija a lista.</t>
  </si>
  <si>
    <t xml:space="preserve">NXH0HAL001838E738F9501</t>
  </si>
  <si>
    <t xml:space="preserve">1) Confirme que o equipamento (N/S NXH0HAL001838E738F9501) está mesmo no Carrinho 13 (quebrados).
2) Se estiver: atualizar a localização no sistema (hoje: MANUTENÇÃO - 2025 -SALA COFRE ).
3) Se não estiver: foi erro na contagem. Descubra de qual carrinho ele é e corrija a lista.</t>
  </si>
  <si>
    <t xml:space="preserve">1) Confirme que o equipamento (N/S NXH0HAL001838E71669501) está mesmo no Carrinho 13 (quebrados).
2) Se estiver: atualizar a localização no sistema (hoje: Carrinho 12 - OCRE ).
3) Se não estiver: foi erro na contagem. Descubra de qual carrinho ele é e corrija a lista.</t>
  </si>
  <si>
    <t xml:space="preserve">NXH0HAL001832D6B3F9501</t>
  </si>
  <si>
    <t xml:space="preserve">1) Confirme que o equipamento (N/S NXH0HAL001832D6B3F9501) está mesmo no Carrinho 13 (quebrados).
2) Se estiver: atualizar a localização no sistema (hoje: MANUTENÇÃO - 2025 -SALA COFRE ).
3) Se não estiver: foi erro na contagem. Descubra de qual carrinho ele é e corrija a lista.</t>
  </si>
  <si>
    <t xml:space="preserve">1) Confirme que o equipamento (N/S NXH0HAL001838E7BC19501) está mesmo no Carrinho 13 (quebrados).
2) Se estiver: atualizar a localização no sistema (hoje: Carrinho 12 - OCRE ).
3) Se não estiver: foi erro na contagem. Descubra de qual carrinho ele é e corrija a lista.</t>
  </si>
  <si>
    <t xml:space="preserve">Para atenção (não são divergências com o sistema): defeitos e patrimônios não localizados</t>
  </si>
  <si>
    <t xml:space="preserve">#</t>
  </si>
  <si>
    <t xml:space="preserve">N/S no Word</t>
  </si>
  <si>
    <t xml:space="preserve">Modelo informado</t>
  </si>
  <si>
    <t xml:space="preserve">O que foi informado</t>
  </si>
  <si>
    <t xml:space="preserve">O que fazer</t>
  </si>
  <si>
    <t xml:space="preserve">Resolvido?</t>
  </si>
  <si>
    <t xml:space="preserve">Resultado</t>
  </si>
  <si>
    <t xml:space="preserve">Carrinho 06</t>
  </si>
  <si>
    <t xml:space="preserve">Defeito informado</t>
  </si>
  <si>
    <t xml:space="preserve">Mancha preta na tela, mas dá para usar.</t>
  </si>
  <si>
    <t xml:space="preserve">Registrar o defeito no inventário e confirmar se precisa de manutenção ou troca.</t>
  </si>
  <si>
    <t xml:space="preserve">Teclas ]º} e ^~ faltando e a dobradiça do lado direito quebrada.</t>
  </si>
  <si>
    <t xml:space="preserve">Registrar o defeito no inventário e confirmar se precisa de manutenção ou descarte.</t>
  </si>
  <si>
    <t xml:space="preserve">Teclas B, N e + não funcionam.</t>
  </si>
  <si>
    <t xml:space="preserve">Teclas S e \| faltando.</t>
  </si>
  <si>
    <t xml:space="preserve">Teclas S, Tab e seta para a direita faltando.</t>
  </si>
  <si>
    <t xml:space="preserve">Teclas S, D, L, P e setas para direita e esquerda faltando (ainda funciona).</t>
  </si>
  <si>
    <t xml:space="preserve">Teclas Esc, 1, E, +, Power, A, Alt Gr e Ctrl faltando.</t>
  </si>
  <si>
    <t xml:space="preserve">Teclas X e seta para a direita faltando.</t>
  </si>
  <si>
    <t xml:space="preserve">Várias teclas não funcionam.</t>
  </si>
  <si>
    <t xml:space="preserve">Carcaça quebrada, mas funciona.</t>
  </si>
  <si>
    <t xml:space="preserve">Dobradiça quebrada e carcaça de baixo soltando.</t>
  </si>
  <si>
    <t xml:space="preserve">Observação incompleta</t>
  </si>
  <si>
    <t xml:space="preserve">No Word a observação ficou cortada: '(obs.:' sem texto.</t>
  </si>
  <si>
    <t xml:space="preserve">Verificar se o computador tem algum defeito e completar a informação.</t>
  </si>
  <si>
    <t xml:space="preserve">Tela piscando sozinha (danificada).</t>
  </si>
  <si>
    <t xml:space="preserve">Registrar o defeito no inventário e confirmar se já foi para a manutenção.</t>
  </si>
  <si>
    <t xml:space="preserve">Patrimônio não localizado</t>
  </si>
  <si>
    <t xml:space="preserve">Não foi possível achar o número do patrimônio.</t>
  </si>
  <si>
    <t xml:space="preserve">Procurar a etiqueta de patrimônio (pode ter descolado) e anotar o número.</t>
  </si>
  <si>
    <t xml:space="preserve">A tela está com problema: não fica fixa, fica tremendo.</t>
  </si>
  <si>
    <t xml:space="preserve">Dobradiça quebrada.</t>
  </si>
  <si>
    <t xml:space="preserve">Patrimônio não localizado e defeito</t>
  </si>
  <si>
    <t xml:space="preserve">Não foi possível achar o número do patrimônio e o computador não liga.</t>
  </si>
  <si>
    <t xml:space="preserve">Procurar a etiqueta de patrimônio, anotar o número e registrar que o equipamento não liga.</t>
  </si>
  <si>
    <t xml:space="preserve">Tecla Ctrl direita faltando.</t>
  </si>
  <si>
    <t xml:space="preserve">Registrar no inventário e confirmar se precisa de reposição ou manutenção.</t>
  </si>
  <si>
    <t xml:space="preserve">Teclas seta esquerda e acento circunflexo faltando.</t>
  </si>
  <si>
    <t xml:space="preserve">Teclas seta direita, Esc, Power, A e X faltando.</t>
  </si>
  <si>
    <t xml:space="preserve">Registrar no inventário. Sem a tecla Power vale priorizar a manutenção.</t>
  </si>
  <si>
    <t xml:space="preserve">Teclas seta esquerda, seta direita e 1 faltando.</t>
  </si>
  <si>
    <t xml:space="preserve">Carrinho 02</t>
  </si>
  <si>
    <t xml:space="preserve">Teclas seta para cima, seta para a direita e seta para baixo faltando.</t>
  </si>
  <si>
    <t xml:space="preserve">Tela manchada com traços pretos.</t>
  </si>
  <si>
    <t xml:space="preserve">Problema na dobradiça.</t>
  </si>
  <si>
    <t xml:space="preserve">Tela quebrada impossível de usar.</t>
  </si>
  <si>
    <t xml:space="preserve">Registrar o defeito no inventário e confirmar se precisa de manutenção ou baixa.</t>
  </si>
  <si>
    <t xml:space="preserve">Totalmente quebrado ele nem carrega não funciona.</t>
  </si>
  <si>
    <t xml:space="preserve">Tecla “s” quebrada, mas funcionando, pode voltar para o carrinho reserva.</t>
  </si>
  <si>
    <t xml:space="preserve">Sem número de patrimônio e o Chrome não liga não carrega</t>
  </si>
  <si>
    <t xml:space="preserve">Procurar a etiqueta de patrimônio, anotar o número e registrar o estado do equipamento.</t>
  </si>
  <si>
    <t xml:space="preserve">O negócio que abre e fecha o Chrome do lado direito tá quebrado e soltando a carcaça de baixo.</t>
  </si>
  <si>
    <t xml:space="preserve">Tela quebrada.</t>
  </si>
  <si>
    <t xml:space="preserve">Não carrega.</t>
  </si>
  <si>
    <t xml:space="preserve">Não liga.</t>
  </si>
  <si>
    <t xml:space="preserve">Com defeito.</t>
  </si>
  <si>
    <t xml:space="preserve">Não carrega então não liga e ainda dá curto no carregador.</t>
  </si>
  <si>
    <t xml:space="preserve">Aparente problema na tela, ela fica escura e acende sozinha depois.</t>
  </si>
  <si>
    <t xml:space="preserve">Está sem as teclas backspace tab til, mas funcionam.</t>
  </si>
  <si>
    <t xml:space="preserve">Sem número de patrimônio e está com a tela quebrada</t>
  </si>
  <si>
    <t xml:space="preserve">Está sem a tecla u embora funcione e a tela fica piscando.</t>
  </si>
  <si>
    <t xml:space="preserve">Tá com o negócio que abre e fecha quebrado do lado esquerdo, funciona, mas não está próprio para uso.</t>
  </si>
  <si>
    <t xml:space="preserve">Tela quebrada (caiu). Passou do Carrinho 06 verde para o Carrinho 13 ciano (quebrados).</t>
  </si>
  <si>
    <t xml:space="preserve">Inventário de Chromebooks – Conferência Word x Sistema da prefeitura</t>
  </si>
  <si>
    <t xml:space="preserve">Carrinho (Word)</t>
  </si>
  <si>
    <t xml:space="preserve">Nº</t>
  </si>
  <si>
    <t xml:space="preserve">N/S ditado (sem espaços)</t>
  </si>
  <si>
    <t xml:space="preserve">Chave de comparação</t>
  </si>
  <si>
    <t xml:space="preserve">Letra final (Word)</t>
  </si>
  <si>
    <t xml:space="preserve">Modelo no sistema</t>
  </si>
  <si>
    <t xml:space="preserve">Letra final (sistema)</t>
  </si>
  <si>
    <t xml:space="preserve">Situação</t>
  </si>
  <si>
    <t xml:space="preserve">Observação</t>
  </si>
  <si>
    <t xml:space="preserve">Estado informado no Word</t>
  </si>
  <si>
    <t xml:space="preserve">NXH0HAL001832D5BB39501</t>
  </si>
  <si>
    <t xml:space="preserve">Acer Chromebook 11 C731 (N16Q13) preto</t>
  </si>
  <si>
    <t xml:space="preserve">NXH0HAL001832D69D19501</t>
  </si>
  <si>
    <t xml:space="preserve">NXH0HAL001832D60FE9501</t>
  </si>
  <si>
    <t xml:space="preserve">NXH0HAL001832D659F9501</t>
  </si>
  <si>
    <t xml:space="preserve">NXH0HAL001839ECE489501</t>
  </si>
  <si>
    <t xml:space="preserve">NXH0HAL001832D69CD9501</t>
  </si>
  <si>
    <t xml:space="preserve">NXH0HAL001832D65869501</t>
  </si>
  <si>
    <t xml:space="preserve">NXH0HAL001832D68659501</t>
  </si>
  <si>
    <t xml:space="preserve">NXH0HAL001832D65DD9501</t>
  </si>
  <si>
    <t xml:space="preserve">NXH0HAL001832D65E79501</t>
  </si>
  <si>
    <t xml:space="preserve">NXH0HAL001832D68A59501</t>
  </si>
  <si>
    <t xml:space="preserve">Ditado NXH0HAL001830D20719501. Esse N/S não existe no sistema e não é parecido com nenhum dos que sobram no Carrinho 01. Pode ser erro de ditado maior ou equipamento não cadastrado: conferir a etiqueta.</t>
  </si>
  <si>
    <t xml:space="preserve">NXH0HAL001838E766E9501</t>
  </si>
  <si>
    <t xml:space="preserve">NXH0HAL001832D65BF9501</t>
  </si>
  <si>
    <t xml:space="preserve">NXH0HAL001832D65439501</t>
  </si>
  <si>
    <t xml:space="preserve">NXH0HAL001832D58349501</t>
  </si>
  <si>
    <t xml:space="preserve">NXH0HAL001832D61879501</t>
  </si>
  <si>
    <t xml:space="preserve">NXH0HAL001830D20939501</t>
  </si>
  <si>
    <t xml:space="preserve">NXH0HAL001839ED5D19501</t>
  </si>
  <si>
    <t xml:space="preserve">Ditado com 23 caracteres (um D a mais: NXH0HAL001832DD66639501). No sistema o Carrinho 01 tem NXH0HAL001832D66639501. Provável erro de ditado: conferir a etiqueta.</t>
  </si>
  <si>
    <t xml:space="preserve">NXH0HAL001830D1F729501</t>
  </si>
  <si>
    <t xml:space="preserve">NXH0HAL001830D1F749501</t>
  </si>
  <si>
    <t xml:space="preserve">NXH0HAL001830D1F949501</t>
  </si>
  <si>
    <t xml:space="preserve">NXH0HAL001832D5B8F9501</t>
  </si>
  <si>
    <t xml:space="preserve">NXH0HAL001832D687D9501</t>
  </si>
  <si>
    <t xml:space="preserve">NXH0HAL001830D1BEA9501</t>
  </si>
  <si>
    <t xml:space="preserve">NXH0HAL001832D65B89501</t>
  </si>
  <si>
    <t xml:space="preserve">NXH0HAL0018481FB349501</t>
  </si>
  <si>
    <t xml:space="preserve">NXH0HAL001832D67269501</t>
  </si>
  <si>
    <t xml:space="preserve">NXH0HAL001832D5D789501</t>
  </si>
  <si>
    <t xml:space="preserve">as teclas seta cima, seta direita e seta baixa faltando</t>
  </si>
  <si>
    <t xml:space="preserve">NXH0HAL001832D66CA9501</t>
  </si>
  <si>
    <t xml:space="preserve">NXH0HAL001832D6B599501</t>
  </si>
  <si>
    <t xml:space="preserve">NXH0HAL001831D29089501</t>
  </si>
  <si>
    <t xml:space="preserve">NXH0HAL001832D65759501</t>
  </si>
  <si>
    <t xml:space="preserve">NXH0HAL001832D65779501</t>
  </si>
  <si>
    <t xml:space="preserve">NXH0HAL001832D65699501</t>
  </si>
  <si>
    <t xml:space="preserve">NXH0HAL0018481E9499501</t>
  </si>
  <si>
    <t xml:space="preserve">NXH0HAL001832D65419501</t>
  </si>
  <si>
    <t xml:space="preserve">NXH0HAL001830D18C09501</t>
  </si>
  <si>
    <t xml:space="preserve">NXH0HAL001830D20CC9501</t>
  </si>
  <si>
    <t xml:space="preserve">NXH0HAL001830D1BAD9501</t>
  </si>
  <si>
    <t xml:space="preserve">NXH0HAL001832D672A9501</t>
  </si>
  <si>
    <t xml:space="preserve">NXH0HAL0018481E9B29501</t>
  </si>
  <si>
    <t xml:space="preserve">NXH0HAL001831D28DD9501</t>
  </si>
  <si>
    <t xml:space="preserve">NXH0HAL001832D65F69501</t>
  </si>
  <si>
    <t xml:space="preserve">NXH0HAL001832D65AB9501</t>
  </si>
  <si>
    <t xml:space="preserve">NXH0HAL001830D1FAE9501</t>
  </si>
  <si>
    <t xml:space="preserve">NXH0HAL001832D5C449501</t>
  </si>
  <si>
    <t xml:space="preserve">NXH0HAL001830D190D9501</t>
  </si>
  <si>
    <t xml:space="preserve">NXH0HAL001830D1FCE9501</t>
  </si>
  <si>
    <t xml:space="preserve">NXH0HAL001839ED5039501</t>
  </si>
  <si>
    <t xml:space="preserve">NXH0HAL001832D5B9A9501</t>
  </si>
  <si>
    <t xml:space="preserve">NXH0HAL001832D65449501</t>
  </si>
  <si>
    <t xml:space="preserve">Acer Chromebook R11 CB5-132T branco</t>
  </si>
  <si>
    <t xml:space="preserve">Ditado com um caractere a menos (NXG54AL00274817F47600, 21 caracteres). No sistema o Carrinho 03 tem NXG54AL002748177F47600, com um 7 a mais. Provável erro de ditado: conferir a etiqueta.</t>
  </si>
  <si>
    <t xml:space="preserve">NXG54AL002749009B47600</t>
  </si>
  <si>
    <t xml:space="preserve">NXG54AL0027481765A7600</t>
  </si>
  <si>
    <t xml:space="preserve">NXG54AL002749008347600</t>
  </si>
  <si>
    <t xml:space="preserve">NXG54AL0027430A0E07600</t>
  </si>
  <si>
    <t xml:space="preserve">NXG54AL002749005BF7600</t>
  </si>
  <si>
    <t xml:space="preserve">NXG54AL0027430673A7600</t>
  </si>
  <si>
    <t xml:space="preserve">NXG54AL002749005CE7600</t>
  </si>
  <si>
    <t xml:space="preserve">tela piscando sozinha – danificada</t>
  </si>
  <si>
    <t xml:space="preserve">NXG54AL002749008FB7600</t>
  </si>
  <si>
    <t xml:space="preserve">NXG54AL00274817AC17600</t>
  </si>
  <si>
    <t xml:space="preserve">NXG54AL00274309EE47600</t>
  </si>
  <si>
    <t xml:space="preserve">NXG54AL002748179CB7600</t>
  </si>
  <si>
    <t xml:space="preserve">Não localizado</t>
  </si>
  <si>
    <t xml:space="preserve">Não foi possível localizar o número do patrimônio</t>
  </si>
  <si>
    <t xml:space="preserve">NXG54AL00274817A777600</t>
  </si>
  <si>
    <t xml:space="preserve">NXG54AL00274309FD77600</t>
  </si>
  <si>
    <t xml:space="preserve">NXG54AL0027430A1067600</t>
  </si>
  <si>
    <t xml:space="preserve">a tela está com problema. Não fica fixa, fica tremendo</t>
  </si>
  <si>
    <t xml:space="preserve">NXG54AL002749009BD7600</t>
  </si>
  <si>
    <t xml:space="preserve">NXG54AL002749005F57600</t>
  </si>
  <si>
    <t xml:space="preserve">está com a dobradiça quebrada</t>
  </si>
  <si>
    <t xml:space="preserve">NXG54AL002748178867600</t>
  </si>
  <si>
    <t xml:space="preserve">NXG54AL00274817A6C7600</t>
  </si>
  <si>
    <t xml:space="preserve">NXG54AL002743064D87600</t>
  </si>
  <si>
    <t xml:space="preserve">NXG54AL0027430648F7600</t>
  </si>
  <si>
    <t xml:space="preserve">NXG54AL002749056B37600</t>
  </si>
  <si>
    <t xml:space="preserve">NXG54AL002743067C47600</t>
  </si>
  <si>
    <t xml:space="preserve">NXG54AL002749007507600</t>
  </si>
  <si>
    <t xml:space="preserve">NXG54AL002743065F17600</t>
  </si>
  <si>
    <t xml:space="preserve">não foi possível localizar o número do patrimônio e o computador não está ligando</t>
  </si>
  <si>
    <t xml:space="preserve">Acer Chromebook 11 C731 preto</t>
  </si>
  <si>
    <t xml:space="preserve">Chromebook preto (Acer C731), não é um dos brancos do carrinho. No sistema este N/S está em CARRINHO RESERVA. Conferir se o equipamento fica mesmo na reserva.</t>
  </si>
  <si>
    <t xml:space="preserve">Chromebook preto C731 series modelo N16Q13</t>
  </si>
  <si>
    <t xml:space="preserve">NXH0HAL001838E762A9501</t>
  </si>
  <si>
    <t xml:space="preserve">tecla ctrl direita faltando</t>
  </si>
  <si>
    <t xml:space="preserve">NXH0HAL001838E76809501</t>
  </si>
  <si>
    <t xml:space="preserve">NXH0HAL001838E6ACA9501</t>
  </si>
  <si>
    <t xml:space="preserve">No sistema este N/S está no Carrinho 01 ( AZUL), mas estava no Carrinho 04 na contagem. Conferir a etiqueta e atualizar a localização no sistema.</t>
  </si>
  <si>
    <t xml:space="preserve">NXH0HAL001832D671C9501</t>
  </si>
  <si>
    <t xml:space="preserve">NXH0HAL001832D6A819501</t>
  </si>
  <si>
    <t xml:space="preserve">NXH0HAL001832D5EED9501</t>
  </si>
  <si>
    <t xml:space="preserve">NXH0HAL001838E74B29501</t>
  </si>
  <si>
    <t xml:space="preserve">Ditado NXH0HAL001838BE691A9501 (23 caracteres, com um B a mais). No sistema o Carrinho 04 tem NXH0HAL001838E691A9501. Provável erro de ditado: conferir a etiqueta.</t>
  </si>
  <si>
    <t xml:space="preserve">NXH0HAL001826C7E849501</t>
  </si>
  <si>
    <t xml:space="preserve">NXH0HAL001839EDD639501</t>
  </si>
  <si>
    <t xml:space="preserve">Ditado NXH0HAL001832DC459501 (21 caracteres, falta o 5). No sistema o Carrinho 04 tem NXH0HAL001832D5C459501. Provável erro de ditado: conferir a etiqueta.</t>
  </si>
  <si>
    <t xml:space="preserve">NXH0HAL001832D5F689501</t>
  </si>
  <si>
    <t xml:space="preserve">NXH0HAL001839EDC9F9501</t>
  </si>
  <si>
    <t xml:space="preserve">NXH0HAL001838E73789501</t>
  </si>
  <si>
    <t xml:space="preserve">NXH0HAL001838E6A8B9501</t>
  </si>
  <si>
    <t xml:space="preserve">Ditado com B no lugar de 8 (NXH0HAL00183BE76A19501). No sistema o Carrinho 04 tem NXH0HAL001838E76A19501. Provável erro de ditado: conferir a etiqueta.</t>
  </si>
  <si>
    <t xml:space="preserve">NXH0HAL001832D68C79501</t>
  </si>
  <si>
    <t xml:space="preserve">NXH0HAL001837E5F719501</t>
  </si>
  <si>
    <t xml:space="preserve">tecla seta esquerda e tecla do acento circunflexo faltando</t>
  </si>
  <si>
    <t xml:space="preserve">Ditado com dois B no lugar de 8 (NXH0HAL00183BE693B9501). No sistema o Carrinho 04 tem NXH0HAL001838E69389501. Provável erro de ditado: conferir a etiqueta.</t>
  </si>
  <si>
    <t xml:space="preserve">tecla seta direita, tecla esc, tecla Power, tecla A, tecla X faltando</t>
  </si>
  <si>
    <t xml:space="preserve">No sistema este N/S está no Carrinho 09 - BORDÔ, mas estava no Carrinho 04 na contagem. Conferir a etiqueta e atualizar a localização no sistema.</t>
  </si>
  <si>
    <t xml:space="preserve">NXH0HAL001832D5F4A9501</t>
  </si>
  <si>
    <t xml:space="preserve">tecla seta esquerda, tecla seta direita, tecla 1 faltando</t>
  </si>
  <si>
    <t xml:space="preserve">Ditado NXH0HAL001838E74D9501 (21 caracteres, falta o 8). No sistema o Carrinho 04 tem NXH0HAL001838E748D9501. Provável erro de ditado: conferir a etiqueta.</t>
  </si>
  <si>
    <t xml:space="preserve">NXH0HAL001832D5B7C9501</t>
  </si>
  <si>
    <t xml:space="preserve">09S29QAR109567E</t>
  </si>
  <si>
    <t xml:space="preserve">Samsung Chromebook 4 cinza</t>
  </si>
  <si>
    <t xml:space="preserve">No sistema este N/S está no Carrinho 12 - OCRE, mas estava no Carrinho 05 na contagem. Conferir a etiqueta e atualizar a localização no sistema.</t>
  </si>
  <si>
    <t xml:space="preserve">09S29QBNC00511A</t>
  </si>
  <si>
    <t xml:space="preserve">09S29QBNC00050R</t>
  </si>
  <si>
    <t xml:space="preserve">09S29QAR111065R</t>
  </si>
  <si>
    <t xml:space="preserve">09S29QAR110835L</t>
  </si>
  <si>
    <t xml:space="preserve">09S29QBR722684H</t>
  </si>
  <si>
    <t xml:space="preserve">09S29QANC07268E</t>
  </si>
  <si>
    <t xml:space="preserve">09S29QAR109533V</t>
  </si>
  <si>
    <t xml:space="preserve">está com a tela manchada com traços pretos</t>
  </si>
  <si>
    <t xml:space="preserve">09S29QAR109581W</t>
  </si>
  <si>
    <t xml:space="preserve">09S29QAR110792X</t>
  </si>
  <si>
    <t xml:space="preserve">09S29QAR700170W</t>
  </si>
  <si>
    <t xml:space="preserve">09S29QBR702359W</t>
  </si>
  <si>
    <t xml:space="preserve">09S29QANC07293L</t>
  </si>
  <si>
    <t xml:space="preserve">09S29QAR105567Y</t>
  </si>
  <si>
    <t xml:space="preserve">09S29QAR110919A</t>
  </si>
  <si>
    <t xml:space="preserve">09S29QAR110841R</t>
  </si>
  <si>
    <t xml:space="preserve">09S29QAR109695V</t>
  </si>
  <si>
    <t xml:space="preserve">09S29QAR110814P</t>
  </si>
  <si>
    <t xml:space="preserve">09S29QAR111074J</t>
  </si>
  <si>
    <t xml:space="preserve">09S29QAR110809K</t>
  </si>
  <si>
    <t xml:space="preserve">09S29QAR111054F</t>
  </si>
  <si>
    <t xml:space="preserve">09S29QAR109427R</t>
  </si>
  <si>
    <t xml:space="preserve">09S29QBR702231Z</t>
  </si>
  <si>
    <t xml:space="preserve">09S29QBR704308D</t>
  </si>
  <si>
    <t xml:space="preserve">09S29QAR109477E</t>
  </si>
  <si>
    <t xml:space="preserve">09S29QAR110990R</t>
  </si>
  <si>
    <t xml:space="preserve">09S29QAR110788H</t>
  </si>
  <si>
    <t xml:space="preserve">09S29QANC07312R</t>
  </si>
  <si>
    <t xml:space="preserve">09S29QAR110777R</t>
  </si>
  <si>
    <t xml:space="preserve">09S29QAR110764R</t>
  </si>
  <si>
    <t xml:space="preserve">09S29QAR110847N</t>
  </si>
  <si>
    <t xml:space="preserve">09S29QAR109527Y</t>
  </si>
  <si>
    <t xml:space="preserve">09S29QAR110978A</t>
  </si>
  <si>
    <t xml:space="preserve">09S29QAR109411Y</t>
  </si>
  <si>
    <t xml:space="preserve">09S29QAR109612W</t>
  </si>
  <si>
    <t xml:space="preserve">09S29QAR110839W</t>
  </si>
  <si>
    <t xml:space="preserve">09S29QBR722965B</t>
  </si>
  <si>
    <t xml:space="preserve">09S29QANC07400A</t>
  </si>
  <si>
    <t xml:space="preserve">09S29QAR110984L</t>
  </si>
  <si>
    <t xml:space="preserve">09S29QANC07284H</t>
  </si>
  <si>
    <t xml:space="preserve">09S29QAR109505K</t>
  </si>
  <si>
    <t xml:space="preserve">09S29QAR109608K</t>
  </si>
  <si>
    <t xml:space="preserve">09S29QAR110618B</t>
  </si>
  <si>
    <t xml:space="preserve">09S29QAR110825D</t>
  </si>
  <si>
    <t xml:space="preserve">09S29QBR701838R</t>
  </si>
  <si>
    <t xml:space="preserve">09S29QAR110876J</t>
  </si>
  <si>
    <t xml:space="preserve">Veio da reserva no lugar do anterior. Localização já atualizada no sistema (exportação de 20/10).</t>
  </si>
  <si>
    <t xml:space="preserve">Veio da reserva (era o nº 11 da reserva). Mancha preta na tela, mas dá para usar</t>
  </si>
  <si>
    <t xml:space="preserve">09S29QAR110781D</t>
  </si>
  <si>
    <t xml:space="preserve">09S29QAR804831D</t>
  </si>
  <si>
    <t xml:space="preserve">09S29QBR702355F</t>
  </si>
  <si>
    <t xml:space="preserve">09S29QBR712411Y</t>
  </si>
  <si>
    <t xml:space="preserve">09S29QBR723296Y</t>
  </si>
  <si>
    <t xml:space="preserve">09S29QBR906192V</t>
  </si>
  <si>
    <t xml:space="preserve">09S29QAR700364Z</t>
  </si>
  <si>
    <t xml:space="preserve">09S29QBR707017K</t>
  </si>
  <si>
    <t xml:space="preserve">09S29QBR702487X</t>
  </si>
  <si>
    <t xml:space="preserve">09S29QBR705449T</t>
  </si>
  <si>
    <t xml:space="preserve">No sistema este N/S está como Não Alocado. Conferir a etiqueta e atualizar a localização no sistema.</t>
  </si>
  <si>
    <t xml:space="preserve">09S29QBR811252X</t>
  </si>
  <si>
    <t xml:space="preserve">09S29QAR804854T</t>
  </si>
  <si>
    <t xml:space="preserve">09S29QAR804945M</t>
  </si>
  <si>
    <t xml:space="preserve">09S29QBR814246W</t>
  </si>
  <si>
    <t xml:space="preserve">09S29QBR812869T</t>
  </si>
  <si>
    <t xml:space="preserve">09S29QBR807684F</t>
  </si>
  <si>
    <t xml:space="preserve">09S29QBR809040D</t>
  </si>
  <si>
    <t xml:space="preserve">09S29QBR808962A</t>
  </si>
  <si>
    <t xml:space="preserve">Ditado 096225. No sistema o Carrinho 07 tem 09S29QBR906225 (dígitos 0 e 9 trocados). Provável erro de ditado: conferir a etiqueta.</t>
  </si>
  <si>
    <t xml:space="preserve">09S29QBR901563P</t>
  </si>
  <si>
    <t xml:space="preserve">09S29QAR413829M</t>
  </si>
  <si>
    <t xml:space="preserve">09S29QAR109507B</t>
  </si>
  <si>
    <t xml:space="preserve">No sistema este N/S está no Carrinho 13 - CIANO, mas estava no Carrinho 07 na contagem. Conferir a etiqueta e atualizar a localização no sistema.</t>
  </si>
  <si>
    <t xml:space="preserve">09S29QAR804857D</t>
  </si>
  <si>
    <t xml:space="preserve">09S29QAR901751L</t>
  </si>
  <si>
    <t xml:space="preserve">Ditado 'qb 9 06223' (sem o R). No sistema o Carrinho 07 tem 09S29QBR906223. Provável erro de ditado: conferir a etiqueta.</t>
  </si>
  <si>
    <t xml:space="preserve">09S29QBR809485D</t>
  </si>
  <si>
    <t xml:space="preserve">09S29QBR906228Y</t>
  </si>
  <si>
    <t xml:space="preserve">09S29QAR804939P</t>
  </si>
  <si>
    <t xml:space="preserve">09S29QBR702174A</t>
  </si>
  <si>
    <t xml:space="preserve">09S29QBR812790Z</t>
  </si>
  <si>
    <t xml:space="preserve">Letra final diferente: ditado B, sistema D. Conferir a etiqueta.</t>
  </si>
  <si>
    <t xml:space="preserve">09S29QBR704880E</t>
  </si>
  <si>
    <t xml:space="preserve">09S29QBR722988K</t>
  </si>
  <si>
    <t xml:space="preserve">09S29QBR809029Y</t>
  </si>
  <si>
    <t xml:space="preserve">09S29QAR110749W</t>
  </si>
  <si>
    <t xml:space="preserve">09S29QAR109542T</t>
  </si>
  <si>
    <t xml:space="preserve">09S29QBR700412D</t>
  </si>
  <si>
    <t xml:space="preserve">09S29QAR110693P</t>
  </si>
  <si>
    <t xml:space="preserve">Ditado 'que BR 811879' (QUEBR). No sistema o Carrinho 07 tem 09S29QBR811879. Provável erro de ditado: conferir a etiqueta.</t>
  </si>
  <si>
    <t xml:space="preserve">No sistema (Carrinho 08) aparece 09S29QAR700216, com QAR no lugar de QBR. Provável erro de ditado ou de digitação: conferir a etiqueta.</t>
  </si>
  <si>
    <t xml:space="preserve">09S29QBR702201T</t>
  </si>
  <si>
    <t xml:space="preserve">09S29QBR722837N</t>
  </si>
  <si>
    <t xml:space="preserve">09S29QBR704305X</t>
  </si>
  <si>
    <t xml:space="preserve">09S29QBR707691L</t>
  </si>
  <si>
    <t xml:space="preserve">09S29QBR811429P</t>
  </si>
  <si>
    <t xml:space="preserve">09S29QBR812564Z</t>
  </si>
  <si>
    <t xml:space="preserve">No sistema (Carrinho 08) aparece 09S29QBR811410, com 811410 no lugar de 011410. Provável erro de ditado (0 x 8): conferir a etiqueta.</t>
  </si>
  <si>
    <t xml:space="preserve">09S29QBR722644N</t>
  </si>
  <si>
    <t xml:space="preserve">No sistema este N/S está no Carrinho 11 - PRETO, mas estava no Carrinho 08 na contagem. Conferir a etiqueta e atualizar a localização no sistema.</t>
  </si>
  <si>
    <t xml:space="preserve">09S29QBR711518X</t>
  </si>
  <si>
    <t xml:space="preserve">09S29QBR811163Y</t>
  </si>
  <si>
    <t xml:space="preserve">09S29QBR723253B</t>
  </si>
  <si>
    <t xml:space="preserve">09S29QBR703384N</t>
  </si>
  <si>
    <t xml:space="preserve">09S29QBR812504D</t>
  </si>
  <si>
    <t xml:space="preserve">09S29QBR718871B</t>
  </si>
  <si>
    <t xml:space="preserve">09S29QBR702144K</t>
  </si>
  <si>
    <t xml:space="preserve">09S29QBR707648V</t>
  </si>
  <si>
    <t xml:space="preserve">09S29QBR702121B</t>
  </si>
  <si>
    <t xml:space="preserve">09S29QBR700557Y</t>
  </si>
  <si>
    <t xml:space="preserve">09S29QBR809552J</t>
  </si>
  <si>
    <t xml:space="preserve">09S29QBR712386K</t>
  </si>
  <si>
    <t xml:space="preserve">09S29QBR722676A</t>
  </si>
  <si>
    <t xml:space="preserve">09S29QBR722677F</t>
  </si>
  <si>
    <t xml:space="preserve">09S29QBR722618F</t>
  </si>
  <si>
    <t xml:space="preserve">09S29QBR723213W</t>
  </si>
  <si>
    <t xml:space="preserve">09S29QBR712456T</t>
  </si>
  <si>
    <t xml:space="preserve">09S29QBR809588D</t>
  </si>
  <si>
    <t xml:space="preserve">09S29QBR811871H</t>
  </si>
  <si>
    <t xml:space="preserve">09S29QBR722830A</t>
  </si>
  <si>
    <t xml:space="preserve">09S29QBR712323W</t>
  </si>
  <si>
    <t xml:space="preserve">09S29QBR712123J</t>
  </si>
  <si>
    <t xml:space="preserve">09S29QBR705509W</t>
  </si>
  <si>
    <t xml:space="preserve">09S29QBR701008B</t>
  </si>
  <si>
    <t xml:space="preserve">09S29QBR811367R</t>
  </si>
  <si>
    <t xml:space="preserve">09S29QBR702161A</t>
  </si>
  <si>
    <t xml:space="preserve">09S29QBR603378W</t>
  </si>
  <si>
    <t xml:space="preserve">09S29QAR110482K</t>
  </si>
  <si>
    <t xml:space="preserve">09S29QBR707085W</t>
  </si>
  <si>
    <t xml:space="preserve">09S29QAR700032Y</t>
  </si>
  <si>
    <t xml:space="preserve">09S29QAR110810X</t>
  </si>
  <si>
    <t xml:space="preserve">09S29QBR707480N</t>
  </si>
  <si>
    <t xml:space="preserve">09S29QANC07030P</t>
  </si>
  <si>
    <t xml:space="preserve">09S29QBR702127L</t>
  </si>
  <si>
    <t xml:space="preserve">09S29QBR711685V</t>
  </si>
  <si>
    <t xml:space="preserve">09S29QBR705018P</t>
  </si>
  <si>
    <t xml:space="preserve">09S29QBR701886A</t>
  </si>
  <si>
    <t xml:space="preserve">09S29QBR712147K</t>
  </si>
  <si>
    <t xml:space="preserve">está com problema na dobradiça</t>
  </si>
  <si>
    <t xml:space="preserve">09S29QAR804400Z</t>
  </si>
  <si>
    <t xml:space="preserve">09S29QBR811972K</t>
  </si>
  <si>
    <t xml:space="preserve">09S29QBR811814A</t>
  </si>
  <si>
    <t xml:space="preserve">09S29QBR702100R</t>
  </si>
  <si>
    <t xml:space="preserve">09S29QBR811838H</t>
  </si>
  <si>
    <t xml:space="preserve">09S29QAR700143R</t>
  </si>
  <si>
    <t xml:space="preserve">09S29QBR723139M</t>
  </si>
  <si>
    <t xml:space="preserve">09S29QBR812084A</t>
  </si>
  <si>
    <t xml:space="preserve">09S29QAR110924N</t>
  </si>
  <si>
    <t xml:space="preserve">09S29QBR702047T</t>
  </si>
  <si>
    <t xml:space="preserve">09S29QBR811681B</t>
  </si>
  <si>
    <t xml:space="preserve">09S29QBR723438R</t>
  </si>
  <si>
    <t xml:space="preserve">09S29QBR810897B</t>
  </si>
  <si>
    <t xml:space="preserve">09S29QBR712930A</t>
  </si>
  <si>
    <t xml:space="preserve">09S29QAR804604F</t>
  </si>
  <si>
    <t xml:space="preserve">09S29QBR722497F</t>
  </si>
  <si>
    <t xml:space="preserve">09S29QANC07320Y</t>
  </si>
  <si>
    <t xml:space="preserve">09S29QBR711965L</t>
  </si>
  <si>
    <t xml:space="preserve">09S29QBR811864X</t>
  </si>
  <si>
    <t xml:space="preserve">09S29QBR811820J</t>
  </si>
  <si>
    <t xml:space="preserve">09S29QBR811646N</t>
  </si>
  <si>
    <t xml:space="preserve">09S29QBR723294F</t>
  </si>
  <si>
    <t xml:space="preserve">09S29QBR811679J</t>
  </si>
  <si>
    <t xml:space="preserve">09S29QAR110712M</t>
  </si>
  <si>
    <t xml:space="preserve">09S29QBR706850N</t>
  </si>
  <si>
    <t xml:space="preserve">09S29QAR110542D</t>
  </si>
  <si>
    <t xml:space="preserve">09S29QBR702113R</t>
  </si>
  <si>
    <t xml:space="preserve">09S29QBR723302E</t>
  </si>
  <si>
    <t xml:space="preserve">Ditado NXH0HAL001838E68C9501 (21 caracteres, falta o 2). No sistema o Carrinho 12 tem NXH0HAL001838E68C29501. Provável erro de ditado: conferir a etiqueta.</t>
  </si>
  <si>
    <t xml:space="preserve">NXH0HAL001832D5B899501</t>
  </si>
  <si>
    <t xml:space="preserve">NXH0HAL001832D5F0C9501</t>
  </si>
  <si>
    <t xml:space="preserve">NXH0HAL001830D13A99501</t>
  </si>
  <si>
    <t xml:space="preserve">NXH0HAL001839ED39C9501</t>
  </si>
  <si>
    <t xml:space="preserve">NXH0HAL0018481FCBE9501</t>
  </si>
  <si>
    <t xml:space="preserve">NXH0HAL001830D18D19501</t>
  </si>
  <si>
    <t xml:space="preserve">NXH0HAL001830D196D9501</t>
  </si>
  <si>
    <t xml:space="preserve">NXH0HAL001830D15139501</t>
  </si>
  <si>
    <t xml:space="preserve">NXH0HAL001830D20EB9501</t>
  </si>
  <si>
    <t xml:space="preserve">NXH0HAL001830D19179501</t>
  </si>
  <si>
    <t xml:space="preserve">Ditado com 0 no lugar de 9 (NXH0HAL001830EDC819501). No sistema o Carrinho 12 tem NXH0HAL001839EDC819501. Provável erro de ditado: conferir a etiqueta.</t>
  </si>
  <si>
    <t xml:space="preserve">NXH0HAL001830D18B89501</t>
  </si>
  <si>
    <t xml:space="preserve">NXH0HAL001830D21C29501</t>
  </si>
  <si>
    <t xml:space="preserve">NXH0HAL001830D1F719501</t>
  </si>
  <si>
    <t xml:space="preserve">NXH0HAL001832D65659501</t>
  </si>
  <si>
    <t xml:space="preserve">NXH0HAL001838E683A9501</t>
  </si>
  <si>
    <t xml:space="preserve">NXH0HAL001838E7B7E9501</t>
  </si>
  <si>
    <t xml:space="preserve">NXH0HAL001830D195C9501</t>
  </si>
  <si>
    <t xml:space="preserve">NXH0HAL001830D1AED9501</t>
  </si>
  <si>
    <t xml:space="preserve">NXH0HAL001830D18DF9501</t>
  </si>
  <si>
    <t xml:space="preserve">NXH0HAL001830D192D9501</t>
  </si>
  <si>
    <t xml:space="preserve">NXH0HAL001838E7BE09501</t>
  </si>
  <si>
    <t xml:space="preserve">NXH0HAL001838E6A489501</t>
  </si>
  <si>
    <t xml:space="preserve">09S29QAR108777H</t>
  </si>
  <si>
    <t xml:space="preserve">Samsung chromebook 4 cinza</t>
  </si>
  <si>
    <t xml:space="preserve">No sistema este N/S está no Carrinho 01 ( AZUL). Como o Word do Carrinho 01 não lista este N/S, ele provavelmente está na reserva. Conferir a etiqueta e atualizar a localização no sistema.</t>
  </si>
  <si>
    <t xml:space="preserve">bom estado</t>
  </si>
  <si>
    <t xml:space="preserve">NXH0HAL001830D1F789501</t>
  </si>
  <si>
    <t xml:space="preserve">sem a tecla ]º}, a tecla ^~ está quebrada, o negócio que abre e fecha do lado direito está quebrado</t>
  </si>
  <si>
    <t xml:space="preserve">as teclas b n + não estão funcionando</t>
  </si>
  <si>
    <t xml:space="preserve">NXH0HAL001838E6B539501</t>
  </si>
  <si>
    <t xml:space="preserve">está sem as teclas “s” e “\|”</t>
  </si>
  <si>
    <t xml:space="preserve">NXH0HAL001838E735B9501</t>
  </si>
  <si>
    <t xml:space="preserve">está sem as teclas “s” “tab” e seta para direita</t>
  </si>
  <si>
    <t xml:space="preserve">NXH0HAL001832D5F129501</t>
  </si>
  <si>
    <t xml:space="preserve">está sem as teclas “s” “d” “l” “p” e setas para direita e esquerda, mas ainda funcionam</t>
  </si>
  <si>
    <t xml:space="preserve">NXH0HAL001839ECCC29501</t>
  </si>
  <si>
    <t xml:space="preserve">está sem as teclas “esc” “1” “e” “+” “power” “a” “alt gr” “ctrl”</t>
  </si>
  <si>
    <t xml:space="preserve">NXH0HAL001837E5E619501</t>
  </si>
  <si>
    <t xml:space="preserve">está sem as teclas “x” e seta para direita</t>
  </si>
  <si>
    <t xml:space="preserve">NXH0HAL0018481E8B39501</t>
  </si>
  <si>
    <t xml:space="preserve">várias teclas não funcionam</t>
  </si>
  <si>
    <t xml:space="preserve">09S29QBR719250D</t>
  </si>
  <si>
    <t xml:space="preserve">está coma carcaça quebrada, mas funciona</t>
  </si>
  <si>
    <t xml:space="preserve">09S29QBR704277D</t>
  </si>
  <si>
    <t xml:space="preserve">está com um negócio que abre e fecha quebrado e soltando a carcaça de baixo</t>
  </si>
  <si>
    <t xml:space="preserve">09S29QBR702126R</t>
  </si>
  <si>
    <t xml:space="preserve">No sistema este N/S está em 'CARRINHO RESERVA'. Foi encontrado no carrinho dos quebrados. Conferir a etiqueta e atualizar a localização no sistema.</t>
  </si>
  <si>
    <t xml:space="preserve">está em bom estado e aparentemente funciona bem pode ser trocador de carrinho</t>
  </si>
  <si>
    <t xml:space="preserve">tela quebrada impossível de usar</t>
  </si>
  <si>
    <t xml:space="preserve">No sistema este N/S está em 'Carrinho 11 - PRETO'. Foi encontrado no carrinho dos quebrados. Conferir a etiqueta e atualizar a localização no sistema.</t>
  </si>
  <si>
    <t xml:space="preserve">totalmente quebrado ele nem carrega não funciona</t>
  </si>
  <si>
    <t xml:space="preserve">No sistema este N/S está em 'Carrinho 08 - CINZA'. Foi encontrado no carrinho dos quebrados. Conferir a etiqueta e atualizar a localização no sistema.</t>
  </si>
  <si>
    <t xml:space="preserve">tecla “s” quebrada, mas funcionando, pode voltar para o carrinho reserva</t>
  </si>
  <si>
    <t xml:space="preserve">09S29QAR109516Z</t>
  </si>
  <si>
    <t xml:space="preserve">sem número de patrimônio e o Chrome não liga não carrega</t>
  </si>
  <si>
    <t xml:space="preserve">No sistema este N/S está em 'Carrinho 10 - MARROM'. Foi encontrado no carrinho dos quebrados. Conferir a etiqueta e atualizar a localização no sistema.</t>
  </si>
  <si>
    <t xml:space="preserve">Aparentemente funciona</t>
  </si>
  <si>
    <t xml:space="preserve">No sistema este N/S está em 'Carrinho 03  ( VERMELHO - CHROME R11 - ED. IN'. Foi encontrado no carrinho dos quebrados. Conferir a etiqueta e atualizar a localização no sistema.</t>
  </si>
  <si>
    <t xml:space="preserve">o negócio que abre e fecha o Chrome do lado direito tá quebrado e soltando a carcaça de baixo</t>
  </si>
  <si>
    <t xml:space="preserve">No sistema este N/S está em 'MANUTENÇÃO - 2025 -SALA COFRE'. Foi encontrado no carrinho dos quebrados. Conferir a etiqueta e atualizar a localização no sistema.</t>
  </si>
  <si>
    <t xml:space="preserve">tela quebrada</t>
  </si>
  <si>
    <t xml:space="preserve">09S29QBR707184F</t>
  </si>
  <si>
    <t xml:space="preserve">09S29QBR701873A</t>
  </si>
  <si>
    <t xml:space="preserve">Ditado 09S29QAR150922B. No sistema o Carrinho 13 tem 09S29QAR110922E (um dígito e a letra final diferentes). Provável erro de ditado: conferir a etiqueta.</t>
  </si>
  <si>
    <t xml:space="preserve">09S29QBR702067X</t>
  </si>
  <si>
    <t xml:space="preserve">No sistema este N/S está em 'Carrinho 10 - MARROM'. Foi encontrado no carrinho dos quebrados. Conferir a etiqueta e atualizar a localização no sistema. ATENÇÃO: o Word do Carrinho 10 (computador 14) tem o mesmo número 09S29QBR707480, mas com a letra final N; aqui foi ditado M. Provavelmente é o mesmo equipamento contado duas vezes (ou a letra foi ditada errado em um dos Words): confira a etiqueta.</t>
  </si>
  <si>
    <t xml:space="preserve">não carrega</t>
  </si>
  <si>
    <t xml:space="preserve">No sistema este N/S está em 'Carrinho 05 ( ROXO)'. Foi encontrado no carrinho dos quebrados. Conferir a etiqueta e atualizar a localização no sistema.</t>
  </si>
  <si>
    <t xml:space="preserve">não liga</t>
  </si>
  <si>
    <t xml:space="preserve">Letra final ditada: 0 (zero); no sistema: D. Provável erro de ditado: conferir a etiqueta.</t>
  </si>
  <si>
    <t xml:space="preserve">com defeito</t>
  </si>
  <si>
    <t xml:space="preserve">09S29QAR109626P</t>
  </si>
  <si>
    <t xml:space="preserve">No sistema este N/S está em 'Carrinho 04 ( LARANJA )'. Foi encontrado no carrinho dos quebrados. Conferir a etiqueta e atualizar a localização no sistema.</t>
  </si>
  <si>
    <t xml:space="preserve">aparentemente sem nenhum problema</t>
  </si>
  <si>
    <t xml:space="preserve">NXH0HAL001832D67DC9501</t>
  </si>
  <si>
    <t xml:space="preserve">não carrega então não liga e ainda dá curto no carregador</t>
  </si>
  <si>
    <t xml:space="preserve">No sistema este N/S está em 'Carrinho 12 - OCRE'. Foi encontrado no carrinho dos quebrados. Conferir a etiqueta e atualizar a localização no sistema.</t>
  </si>
  <si>
    <t xml:space="preserve">aparente problema na tela, ela fica escura e acende sozinha depois</t>
  </si>
  <si>
    <t xml:space="preserve">NXH0HAL0018481E9B89501</t>
  </si>
  <si>
    <t xml:space="preserve">está sem as teclas backspace tab til, mas funcionam</t>
  </si>
  <si>
    <t xml:space="preserve">NXH0HAL001838E6A519501</t>
  </si>
  <si>
    <t xml:space="preserve">NXH0HAL001830D18CC9501</t>
  </si>
  <si>
    <t xml:space="preserve">sem número de patrimônio e está com a tela quebrada</t>
  </si>
  <si>
    <t xml:space="preserve">está sem a tecla u embora funcione e a tela fica piscando</t>
  </si>
  <si>
    <t xml:space="preserve">NXH0HAL001838E744C9501</t>
  </si>
  <si>
    <t xml:space="preserve">liga e todas as teclas funcionam, aparentemente sem defeito</t>
  </si>
  <si>
    <t xml:space="preserve">NXH0HAL001838E7B809501</t>
  </si>
  <si>
    <t xml:space="preserve">tá com o negócio que abre e fecha quebrado do lado esquerdo, funciona, mas não está próprio para uso</t>
  </si>
  <si>
    <t xml:space="preserve">09S29QAR109471H</t>
  </si>
  <si>
    <t xml:space="preserve">Tela quebrada (caiu). Passou do Carrinho 06 verde para o Carrinho 13 ciano (quebrados)</t>
  </si>
  <si>
    <t xml:space="preserve">Instância</t>
  </si>
  <si>
    <t xml:space="preserve">Sub Categoria</t>
  </si>
  <si>
    <t xml:space="preserve">Modelo/Lote</t>
  </si>
  <si>
    <t xml:space="preserve">N. Série</t>
  </si>
  <si>
    <t xml:space="preserve">Local</t>
  </si>
  <si>
    <t xml:space="preserve">Carrinho conferido: está no Word?</t>
  </si>
  <si>
    <t xml:space="preserve">EMEIEF YOJIRO TAKAOKA - ENG.</t>
  </si>
  <si>
    <t xml:space="preserve">Chromebook</t>
  </si>
  <si>
    <t xml:space="preserve">Acer Chromebook 11 N7 (C731, C731T)</t>
  </si>
  <si>
    <t xml:space="preserve">Regular</t>
  </si>
  <si>
    <t xml:space="preserve">Registrado na reserva, mas não está no Word. Pode ser o par do computador 2 do Word (…D1F789501), se foi ditado errado: conferir a etiqueta.</t>
  </si>
  <si>
    <t xml:space="preserve">Samsung Chromebook 4</t>
  </si>
  <si>
    <t xml:space="preserve">Registrado na reserva, mas não está no Word. Pode estar com um professor ou em outro carrinho ainda não conferido. Ele aparece no Word dos Chromebooks quebrados (computador 2), então provavelmente está lá e só falta atualizar a localização no sistema.</t>
  </si>
  <si>
    <t xml:space="preserve">Registrado na reserva, mas não está no Word. Pode estar com um professor ou em outro carrinho ainda não conferido. Ele aparece no Word dos Chromebooks quebrados (computador 1), então provavelmente está lá e só falta atualizar a localização no sistema.</t>
  </si>
  <si>
    <t xml:space="preserve">Samsung Chromebook 4 - 2021/Lote 1</t>
  </si>
  <si>
    <t xml:space="preserve">09S29QBR719250</t>
  </si>
  <si>
    <t xml:space="preserve">09S29QBR704277</t>
  </si>
  <si>
    <t xml:space="preserve">09S29QBR702126</t>
  </si>
  <si>
    <t xml:space="preserve">Provável par do computador 20 do Carrinho 04 no Word (ditado com dois B no lugar de 8).</t>
  </si>
  <si>
    <t xml:space="preserve">Provável par do computador 23 do Carrinho 04 no Word (ditado sem o 8).</t>
  </si>
  <si>
    <t xml:space="preserve">Provável par do computador 12 do Carrinho 04 no Word (ditado sem o 5).</t>
  </si>
  <si>
    <t xml:space="preserve">Provável par do computador 9 do Carrinho 04 no Word (ditado com um B a mais).</t>
  </si>
  <si>
    <t xml:space="preserve">Registrado no Carrinho 04, mas não está no Word (nem no Word do Carrinho 01). Pode ter sido trocado de carrinho com o computador 21 do Word, cadastrado no Carrinho 09. Ele aparece no Word dos Chromebooks quebrados (computador 17), então provavelmente está lá e só falta atualizar a localização no sistema.</t>
  </si>
  <si>
    <t xml:space="preserve">Provável par do computador 17 do Carrinho 04 no Word (ditado com B no lugar de 8).</t>
  </si>
  <si>
    <t xml:space="preserve">Registrado no Carrinho 12, mas não está no Word. Pode estar em outro carrinho ainda não conferido. Ele aparece no Word dos Chromebooks quebrados (computador 27), então provavelmente está lá e só falta atualizar a localização no sistema.</t>
  </si>
  <si>
    <t xml:space="preserve">Provável par do computador 12 do Carrinho 12 no Word (ditado com 0 no lugar de 9).</t>
  </si>
  <si>
    <t xml:space="preserve">Registrado no Carrinho 12, mas não está no Word. Pode estar em outro carrinho ainda não conferido. Ele aparece no Word dos Chromebooks quebrados (computador 24), então provavelmente está lá e só falta atualizar a localização no sistema.</t>
  </si>
  <si>
    <t xml:space="preserve">Registrado no Carrinho 12, mas não está no Word. Pode estar em outro carrinho ainda não conferido. Ele aparece no Word dos Chromebooks quebrados (computador 19), então provavelmente está lá e só falta atualizar a localização no sistema.</t>
  </si>
  <si>
    <t xml:space="preserve">Provável par do computador 1 do Carrinho 12 no Word (ditado sem o 2).</t>
  </si>
  <si>
    <t xml:space="preserve">Registrado no Carrinho 12 - OCRE, mas o Word do Carrinho 05 lista este N/S (computador 2). Provavelmente está no Carrinho 05 e só falta atualizar o cadastro.</t>
  </si>
  <si>
    <t xml:space="preserve">Provável par do computador 11 do Word dos quebrados (ditado com 5 no lugar de 1 e letra B no lugar de E).</t>
  </si>
  <si>
    <t xml:space="preserve">09S29QBR701873</t>
  </si>
  <si>
    <t xml:space="preserve">09S29QBR707184</t>
  </si>
  <si>
    <t xml:space="preserve">09S29QBR702067</t>
  </si>
  <si>
    <t xml:space="preserve">Registrado no Carrinho 13 - CIANO, mas não está no Word dos quebrados nem em outro Word. Conferir fisicamente.</t>
  </si>
  <si>
    <t xml:space="preserve">Registrado no Carrinho 01, mas o Word do Carrinho 04 lista este N/S (computador 4). Provavelmente está no Carrinho 04 e só falta atualizar o cadastro.</t>
  </si>
  <si>
    <t xml:space="preserve">Registrado no Carrinho 01, mas não está no Word do Carrinho 01. Ele está no Word do Carrinho Reserva (computador 1): provavelmente está na reserva e falta atualizar o cadastro.</t>
  </si>
  <si>
    <t xml:space="preserve">Provável par do computador 20 do Carrinho 01 no Word (ditado com um D a mais).</t>
  </si>
  <si>
    <t xml:space="preserve">Acer Chromebook R11 (CB5-132T, C738T)</t>
  </si>
  <si>
    <t xml:space="preserve">Provável par do computador 1 do Carrinho 03 no Word (ditado NXG54AL00274817F47600, sem um 7).</t>
  </si>
  <si>
    <t xml:space="preserve">Registrado no Carrinho 03, mas não está no Word (Acer branco). Pode estar com um professor que trocou o branco pelo cinza.</t>
  </si>
  <si>
    <t xml:space="preserve">Samsung Chromebook 4 cinza registrado no Carrinho 03 (carrinho dos Acer brancos) e que não está no Word. Pode ser o cinza que um professor recebeu na troca pelo branco. Ele aparece no Word dos Chromebooks quebrados (computador 7), então provavelmente está lá e só falta atualizar a localização no sistema.</t>
  </si>
  <si>
    <t xml:space="preserve">Assistente Virtual</t>
  </si>
  <si>
    <t xml:space="preserve">Echo Show 10</t>
  </si>
  <si>
    <t xml:space="preserve">G0B18W08210400GP</t>
  </si>
  <si>
    <t xml:space="preserve">Echo Show 10 - Alexa</t>
  </si>
  <si>
    <t xml:space="preserve">Desktop</t>
  </si>
  <si>
    <t xml:space="preserve">Mini PC Intel I7 Everex II</t>
  </si>
  <si>
    <t xml:space="preserve">687030901716</t>
  </si>
  <si>
    <t xml:space="preserve">Mini PC Intel I7 - Laboratório de Informática</t>
  </si>
  <si>
    <t xml:space="preserve">687030901422</t>
  </si>
  <si>
    <t xml:space="preserve">687030901558</t>
  </si>
  <si>
    <t xml:space="preserve">687030901674</t>
  </si>
  <si>
    <t xml:space="preserve">687030901734</t>
  </si>
  <si>
    <t xml:space="preserve">687030901301</t>
  </si>
  <si>
    <t xml:space="preserve">687030901327</t>
  </si>
  <si>
    <t xml:space="preserve">687030901426</t>
  </si>
  <si>
    <t xml:space="preserve">687030901416</t>
  </si>
  <si>
    <t xml:space="preserve">687030901503</t>
  </si>
  <si>
    <t xml:space="preserve">687030901678</t>
  </si>
  <si>
    <t xml:space="preserve">687030901451</t>
  </si>
  <si>
    <t xml:space="preserve">687030901292</t>
  </si>
  <si>
    <t xml:space="preserve">687030901428</t>
  </si>
  <si>
    <t xml:space="preserve">687030901725</t>
  </si>
  <si>
    <t xml:space="preserve">687030901717</t>
  </si>
  <si>
    <t xml:space="preserve">687030901287</t>
  </si>
  <si>
    <t xml:space="preserve">687030901699</t>
  </si>
  <si>
    <t xml:space="preserve">687030901443</t>
  </si>
  <si>
    <t xml:space="preserve">687030901722</t>
  </si>
  <si>
    <t xml:space="preserve">687030901788</t>
  </si>
  <si>
    <t xml:space="preserve">687030901295</t>
  </si>
  <si>
    <t xml:space="preserve">687030901613</t>
  </si>
  <si>
    <t xml:space="preserve">687030901294</t>
  </si>
  <si>
    <t xml:space="preserve">687030901730</t>
  </si>
  <si>
    <t xml:space="preserve">687030901578</t>
  </si>
  <si>
    <t xml:space="preserve">687030901423</t>
  </si>
  <si>
    <t xml:space="preserve">687030901587</t>
  </si>
  <si>
    <t xml:space="preserve">687030901298</t>
  </si>
  <si>
    <t xml:space="preserve">687030901289</t>
  </si>
  <si>
    <t xml:space="preserve">Monitor</t>
  </si>
  <si>
    <t xml:space="preserve">Monitor Samsung 24 curvo</t>
  </si>
  <si>
    <t xml:space="preserve">Y2U6HX5T700281W</t>
  </si>
  <si>
    <t xml:space="preserve">687030901402</t>
  </si>
  <si>
    <t xml:space="preserve">Mini PC Intel I7 - Gestão/Secretaria</t>
  </si>
  <si>
    <t xml:space="preserve">687030901394</t>
  </si>
  <si>
    <t xml:space="preserve">687030901406</t>
  </si>
  <si>
    <t xml:space="preserve">689030901391</t>
  </si>
  <si>
    <t xml:space="preserve">687030901410</t>
  </si>
  <si>
    <t xml:space="preserve">687030901395</t>
  </si>
  <si>
    <t xml:space="preserve">687030901419</t>
  </si>
  <si>
    <t xml:space="preserve">687030901430</t>
  </si>
  <si>
    <t xml:space="preserve">681030901252</t>
  </si>
  <si>
    <t xml:space="preserve">687030901409</t>
  </si>
  <si>
    <t xml:space="preserve">Y2U6HX5T802181Z</t>
  </si>
  <si>
    <t xml:space="preserve">Monitores Samsumg- Laboratório de Informática</t>
  </si>
  <si>
    <t xml:space="preserve">Y2U6HX5T801214L</t>
  </si>
  <si>
    <t xml:space="preserve">Y2U6HX5T802015F</t>
  </si>
  <si>
    <t xml:space="preserve">Y2U6HX5T800636V</t>
  </si>
  <si>
    <t xml:space="preserve">Y2U6HX5T800193L</t>
  </si>
  <si>
    <t xml:space="preserve">Y2U6HX5T801210P</t>
  </si>
  <si>
    <t xml:space="preserve">Y2U6HX5T502805B</t>
  </si>
  <si>
    <t xml:space="preserve">Y2U6HX5T800191R</t>
  </si>
  <si>
    <t xml:space="preserve">Y2U6HX5T800625Y</t>
  </si>
  <si>
    <t xml:space="preserve">Y2U6HX5T800635J</t>
  </si>
  <si>
    <t xml:space="preserve">Y2U6HX5T800174B</t>
  </si>
  <si>
    <t xml:space="preserve">Y2U6HX5TB01702H</t>
  </si>
  <si>
    <t xml:space="preserve">Y2U6HX5T800151E</t>
  </si>
  <si>
    <t xml:space="preserve">Y2U6HX5T800184F</t>
  </si>
  <si>
    <t xml:space="preserve">Y2U6HX5T801071F</t>
  </si>
  <si>
    <t xml:space="preserve">Y2U6HX5T801095A</t>
  </si>
  <si>
    <t xml:space="preserve">Y2U6HX5T800802J</t>
  </si>
  <si>
    <t xml:space="preserve">Y2U6HX5T802013A</t>
  </si>
  <si>
    <t xml:space="preserve">Y2U6HX5TB01444W</t>
  </si>
  <si>
    <t xml:space="preserve">Y2U6HX5T800322Z</t>
  </si>
  <si>
    <t xml:space="preserve">Y2U6HX5T800317X</t>
  </si>
  <si>
    <t xml:space="preserve">Y2U6HX5T800975X</t>
  </si>
  <si>
    <t xml:space="preserve">Y2U6HX5TB01662B</t>
  </si>
  <si>
    <t xml:space="preserve">Y2U6HX5T600974Z</t>
  </si>
  <si>
    <t xml:space="preserve">Y2U6HX5T802021N</t>
  </si>
  <si>
    <t xml:space="preserve">Y2U6HX5T503847V</t>
  </si>
  <si>
    <t xml:space="preserve">Y2U6HX5T801197K</t>
  </si>
  <si>
    <t xml:space="preserve">Y2U6HX5T800954Y</t>
  </si>
  <si>
    <t xml:space="preserve">Y2U6HX5T800208E</t>
  </si>
  <si>
    <t xml:space="preserve">Y2U6HX5T800018T</t>
  </si>
  <si>
    <t xml:space="preserve">Monitores Samsumg - Gestão/Secretaria </t>
  </si>
  <si>
    <t xml:space="preserve">Y2U6HX5T801001V</t>
  </si>
  <si>
    <t xml:space="preserve">Y2U6HX5T802156D</t>
  </si>
  <si>
    <t xml:space="preserve">Y2U6HX5T802202R</t>
  </si>
  <si>
    <t xml:space="preserve">Y2U6HX5T802004V</t>
  </si>
  <si>
    <t xml:space="preserve">Y2U6HX5T602265Z</t>
  </si>
  <si>
    <t xml:space="preserve">Y2U6HX5T503755L</t>
  </si>
  <si>
    <t xml:space="preserve">Y2U6HX5T800195A</t>
  </si>
  <si>
    <t xml:space="preserve">Y2U6HX5T802197R</t>
  </si>
  <si>
    <t xml:space="preserve">Y2U6HX5T801052H</t>
  </si>
  <si>
    <t xml:space="preserve">Óculos Realidade Virtual</t>
  </si>
  <si>
    <t xml:space="preserve">Oculus Quest 2</t>
  </si>
  <si>
    <t xml:space="preserve">1WMVR410552173</t>
  </si>
  <si>
    <t xml:space="preserve">Óculos Quest 2</t>
  </si>
  <si>
    <t xml:space="preserve">1WMVR4104R2173</t>
  </si>
  <si>
    <t xml:space="preserve">1WMVR410F82234</t>
  </si>
  <si>
    <t xml:space="preserve">1WMVR410472173</t>
  </si>
  <si>
    <t xml:space="preserve">1WMVR410JX2243</t>
  </si>
  <si>
    <t xml:space="preserve">09S29QBR711965</t>
  </si>
  <si>
    <t xml:space="preserve">09S29QBR811679</t>
  </si>
  <si>
    <t xml:space="preserve">09S29QBR702113</t>
  </si>
  <si>
    <t xml:space="preserve">Registrado no Carrinho 11, mas não está no Word. Pode estar com um professor ou em outro carrinho ainda não conferido. Ele aparece no Word dos Chromebooks quebrados (computador 3), então provavelmente está lá e só falta atualizar a localização no sistema.</t>
  </si>
  <si>
    <t xml:space="preserve">09S29QBR812084</t>
  </si>
  <si>
    <t xml:space="preserve">09S29QBR811864</t>
  </si>
  <si>
    <t xml:space="preserve">09S29QBR811820</t>
  </si>
  <si>
    <t xml:space="preserve">09S29QBR723294</t>
  </si>
  <si>
    <t xml:space="preserve">09S29QBR723302</t>
  </si>
  <si>
    <t xml:space="preserve">09S29QBR811681</t>
  </si>
  <si>
    <t xml:space="preserve">09S29QBR810897</t>
  </si>
  <si>
    <t xml:space="preserve">09S29QBR712930</t>
  </si>
  <si>
    <t xml:space="preserve">09S29QBR702047</t>
  </si>
  <si>
    <t xml:space="preserve">09S29QBR723438</t>
  </si>
  <si>
    <t xml:space="preserve">09S29QAR804604</t>
  </si>
  <si>
    <t xml:space="preserve">09S29QBR723139</t>
  </si>
  <si>
    <t xml:space="preserve">09S29QBR811646</t>
  </si>
  <si>
    <t xml:space="preserve">09S29QBR722497</t>
  </si>
  <si>
    <t xml:space="preserve">09S29QBR811838</t>
  </si>
  <si>
    <t xml:space="preserve">09S29QAR700143</t>
  </si>
  <si>
    <t xml:space="preserve">Registrado no Carrinho 11, mas não está no Word. Pode estar com um professor ou em outro carrinho ainda não conferido.</t>
  </si>
  <si>
    <t xml:space="preserve">09S29QBR706850</t>
  </si>
  <si>
    <t xml:space="preserve">Registrado no Carrinho 05, mas não está no Word (nem no Word do Carrinho 12). Pode estar com um professor ou em um carrinho ainda não conferido. Ele aparece no Word dos Chromebooks quebrados (computador 14), então provavelmente está lá e só falta atualizar a localização no sistema.</t>
  </si>
  <si>
    <t xml:space="preserve">09S29QBR702359</t>
  </si>
  <si>
    <t xml:space="preserve">09S29QBR704308</t>
  </si>
  <si>
    <t xml:space="preserve">09S29QAR700170</t>
  </si>
  <si>
    <t xml:space="preserve">09S29QBR702231</t>
  </si>
  <si>
    <t xml:space="preserve">09S29QBR722684</t>
  </si>
  <si>
    <t xml:space="preserve">09S29QBR712411</t>
  </si>
  <si>
    <t xml:space="preserve">09S29QBR722965</t>
  </si>
  <si>
    <t xml:space="preserve">09S29QBR705449</t>
  </si>
  <si>
    <t xml:space="preserve">09S29QBR701838</t>
  </si>
  <si>
    <t xml:space="preserve">09S29QBR723296</t>
  </si>
  <si>
    <t xml:space="preserve">09S29QAR804831</t>
  </si>
  <si>
    <t xml:space="preserve">09S29QBR702487</t>
  </si>
  <si>
    <t xml:space="preserve">09S29QAR700364</t>
  </si>
  <si>
    <t xml:space="preserve">09S29QBR707017</t>
  </si>
  <si>
    <t xml:space="preserve">09S29QBR702355</t>
  </si>
  <si>
    <t xml:space="preserve">Samsung Chromebook 4 - 2021/Lote 2</t>
  </si>
  <si>
    <t xml:space="preserve">09S29QBR906192</t>
  </si>
  <si>
    <t xml:space="preserve">Provável par do computador 31 do Carrinho 07 no Word (ditado 'que BR 811879').</t>
  </si>
  <si>
    <t xml:space="preserve">09S29QBR700412</t>
  </si>
  <si>
    <t xml:space="preserve">09S29QBR704880</t>
  </si>
  <si>
    <t xml:space="preserve">09S29QBR722988</t>
  </si>
  <si>
    <t xml:space="preserve">09S29QBR702174</t>
  </si>
  <si>
    <t xml:space="preserve">09S29QBR812790</t>
  </si>
  <si>
    <t xml:space="preserve">09S29QBR901563</t>
  </si>
  <si>
    <t xml:space="preserve">09S29QAR804854</t>
  </si>
  <si>
    <t xml:space="preserve">09S29QAR901751</t>
  </si>
  <si>
    <t xml:space="preserve">09S29QBR812869</t>
  </si>
  <si>
    <t xml:space="preserve">09S29QAR804939</t>
  </si>
  <si>
    <t xml:space="preserve">09S29QBR814246</t>
  </si>
  <si>
    <t xml:space="preserve">Provável par do computador 17 do Carrinho 07 no Word (ditado qb906223, sem o R).</t>
  </si>
  <si>
    <t xml:space="preserve">Provável par do computador 10 do Carrinho 07 no Word (ditado 096225).</t>
  </si>
  <si>
    <t xml:space="preserve">09S29QBR809029</t>
  </si>
  <si>
    <t xml:space="preserve">09S29QAR413829</t>
  </si>
  <si>
    <t xml:space="preserve">09S29QBR906228</t>
  </si>
  <si>
    <t xml:space="preserve">09S29QAR804857</t>
  </si>
  <si>
    <t xml:space="preserve">09S29QBR809485</t>
  </si>
  <si>
    <t xml:space="preserve">09S29QAR804945</t>
  </si>
  <si>
    <t xml:space="preserve">09S29QBR807684</t>
  </si>
  <si>
    <t xml:space="preserve">09S29QBR809040</t>
  </si>
  <si>
    <t xml:space="preserve">09S29QBR808962</t>
  </si>
  <si>
    <t xml:space="preserve">09S29QBR811252</t>
  </si>
  <si>
    <t xml:space="preserve">Registrado no Carrinho 08 mas não está no Word (o cadastro também está sem lote, diferente dos demais). Conferir se está em outro carrinho, na manutenção ou faltando. Ele aparece no Word dos Chromebooks quebrados (computador 4), então provavelmente está lá e só falta atualizar a localização no sistema.</t>
  </si>
  <si>
    <t xml:space="preserve">09S29QBR707691</t>
  </si>
  <si>
    <t xml:space="preserve">09S29QBR704305</t>
  </si>
  <si>
    <t xml:space="preserve">09S29QBR723253</t>
  </si>
  <si>
    <t xml:space="preserve">Provável par do computador 1 do Carrinho 08 no Word (09S29QBR700216N). Diferença: QAR x QBR.</t>
  </si>
  <si>
    <t xml:space="preserve">09S29QBR712386</t>
  </si>
  <si>
    <t xml:space="preserve">09S29QBR711518</t>
  </si>
  <si>
    <t xml:space="preserve">09S29QBR722618</t>
  </si>
  <si>
    <t xml:space="preserve">09S29QBR703384</t>
  </si>
  <si>
    <t xml:space="preserve">09S29QBR723213</t>
  </si>
  <si>
    <t xml:space="preserve">09S29QBR702144</t>
  </si>
  <si>
    <t xml:space="preserve">09S29QBR702121</t>
  </si>
  <si>
    <t xml:space="preserve">09S29QBR811429</t>
  </si>
  <si>
    <t xml:space="preserve">09S29QBR707648</t>
  </si>
  <si>
    <t xml:space="preserve">09S29QBR809588</t>
  </si>
  <si>
    <t xml:space="preserve">09S29QBR812504</t>
  </si>
  <si>
    <t xml:space="preserve">09S29QBR722677</t>
  </si>
  <si>
    <t xml:space="preserve">09S29QBR700557</t>
  </si>
  <si>
    <t xml:space="preserve">09S29QBR812564</t>
  </si>
  <si>
    <t xml:space="preserve">09S29QBR811163</t>
  </si>
  <si>
    <t xml:space="preserve">09S29QBR809552</t>
  </si>
  <si>
    <t xml:space="preserve">09S29QBR722676</t>
  </si>
  <si>
    <t xml:space="preserve">09S29QBR718871</t>
  </si>
  <si>
    <t xml:space="preserve">Provável par do computador 8 do Carrinho 08 no Word (09S29QBR011410F). Diferença: 811410 x 011410.</t>
  </si>
  <si>
    <t xml:space="preserve">09S29QBR722837</t>
  </si>
  <si>
    <t xml:space="preserve">09S29QBR702201</t>
  </si>
  <si>
    <t xml:space="preserve">09S29QBR722644</t>
  </si>
  <si>
    <t xml:space="preserve">Samsung Chromebook 4 - 2021/Lote 4</t>
  </si>
  <si>
    <t xml:space="preserve">09S29QBR705509</t>
  </si>
  <si>
    <t xml:space="preserve">09S29QBR711685</t>
  </si>
  <si>
    <t xml:space="preserve">09S29QAR700032</t>
  </si>
  <si>
    <t xml:space="preserve">Registrado no Carrinho 10, mas não está no Word (o Word tem 24 e o sistema, 26). Pode ser um dos Samsung cinza entregues a professores na troca pelo Chromebook branco.</t>
  </si>
  <si>
    <t xml:space="preserve">09S29QBR702100</t>
  </si>
  <si>
    <t xml:space="preserve">09S29QBR702127</t>
  </si>
  <si>
    <t xml:space="preserve">09S29QBR702161</t>
  </si>
  <si>
    <t xml:space="preserve">Registrado no Carrinho 10, mas não está no Word (o Word tem 24 e o sistema, 26). Pode ser um dos Samsung cinza entregues a professores na troca pelo Chromebook branco. Ele aparece no Word dos Chromebooks quebrados (computador 6), então provavelmente está lá e só falta atualizar a localização no sistema.</t>
  </si>
  <si>
    <t xml:space="preserve">09S29QBR701008</t>
  </si>
  <si>
    <t xml:space="preserve">09S29QBR603378</t>
  </si>
  <si>
    <t xml:space="preserve">09S29QBR712123</t>
  </si>
  <si>
    <t xml:space="preserve">09S29QBR705018</t>
  </si>
  <si>
    <t xml:space="preserve">09S29QBR712147</t>
  </si>
  <si>
    <t xml:space="preserve">09S29QBR701886</t>
  </si>
  <si>
    <t xml:space="preserve">09S29QBR811367</t>
  </si>
  <si>
    <t xml:space="preserve">09S29QBR722830</t>
  </si>
  <si>
    <t xml:space="preserve">09S29QAR804400</t>
  </si>
  <si>
    <t xml:space="preserve">09S29QBR811814</t>
  </si>
  <si>
    <t xml:space="preserve">09S29QBR811871</t>
  </si>
  <si>
    <t xml:space="preserve">09S29QBR811972</t>
  </si>
  <si>
    <t xml:space="preserve">09S29QBR712323</t>
  </si>
  <si>
    <t xml:space="preserve">09S29QBR707085</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</si>
</sst>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FFFFFF"/>
      <name val="Arial"/>
      <family val="0"/>
      <charset val="1"/>
    </font>
    <font>
      <sz val="11"/>
      <name val="Arial"/>
      <family val="0"/>
      <charset val="1"/>
    </font>
    <font>
      <b val="true"/>
      <sz val="11"/>
      <name val="Arial"/>
      <family val="0"/>
      <charset val="1"/>
    </font>
    <font>
      <i val="true"/>
      <sz val="11"/>
      <name val="Arial"/>
      <family val="0"/>
      <charset val="1"/>
    </font>
    <font>
      <b val="true"/>
      <sz val="12"/>
      <name val="Arial"/>
      <family val="0"/>
      <charset val="1"/>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E2EFDA"/>
        </patternFill>
      </fill>
    </dxf>
    <dxf>
      <fill>
        <patternFill patternType="solid">
          <fgColor rgb="FF30549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0"/>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8" min="7" style="0" width="22"/>
  </cols>
  <sheetData>
    <row r="1" customFormat="false" ht="17.35" hidden="false" customHeight="false" outlineLevel="0" collapsed="false">
      <c r="A1" s="1" t="s">
        <v>0</v>
      </c>
    </row>
    <row r="3" customFormat="false" ht="31.5" hidden="false" customHeight="true" outlineLevel="0" collapsed="false">
      <c r="A3" s="2" t="s">
        <v>1</v>
      </c>
      <c r="B3" s="2" t="s">
        <v>2</v>
      </c>
      <c r="C3" s="2" t="s">
        <v>3</v>
      </c>
      <c r="D3" s="2" t="s">
        <v>4</v>
      </c>
      <c r="E3" s="2" t="s">
        <v>5</v>
      </c>
      <c r="F3" s="2" t="s">
        <v>6</v>
      </c>
      <c r="G3" s="2" t="s">
        <v>7</v>
      </c>
      <c r="H3" s="2" t="s">
        <v>8</v>
      </c>
    </row>
    <row r="4" customFormat="false" ht="15" hidden="false" customHeight="false" outlineLevel="0" collapsed="false">
      <c r="A4" s="3" t="s">
        <v>9</v>
      </c>
      <c r="B4" s="4" t="n">
        <f aca="false">COUNTIF(Conferência!$A$4:$A$336,A4)</f>
        <v>28</v>
      </c>
      <c r="C4" s="4" t="n">
        <f aca="false">COUNTIFS(Conferência!$A$4:$A$336,$A4,Conferência!$K$4:$K$336,"Confere")</f>
        <v>26</v>
      </c>
      <c r="D4" s="4" t="n">
        <f aca="false">COUNTIFS(Conferência!$A$4:$A$336,$A4,Conferência!$K$4:$K$336,"Local diferente")</f>
        <v>0</v>
      </c>
      <c r="E4" s="4" t="n">
        <f aca="false">COUNTIFS(Conferência!$A$4:$A$336,$A4,Conferência!$K$4:$K$336,"Letra final diferente")</f>
        <v>0</v>
      </c>
      <c r="F4" s="4" t="n">
        <f aca="false">COUNTIFS(Conferência!$A$4:$A$336,$A4,Conferência!$K$4:$K$336,"Não encontrado")</f>
        <v>2</v>
      </c>
      <c r="G4" s="4" t="n">
        <f aca="false">COUNTIF(Sistema!$F$2:$F$421,A4)</f>
        <v>29</v>
      </c>
      <c r="H4" s="4" t="n">
        <f aca="false">COUNTIFS(Sistema!$F$2:$F$421,A4,Sistema!$H$2:$H$421,"Falta no Word")</f>
        <v>3</v>
      </c>
    </row>
    <row r="5" customFormat="false" ht="15" hidden="false" customHeight="false" outlineLevel="0" collapsed="false">
      <c r="A5" s="3" t="s">
        <v>10</v>
      </c>
      <c r="B5" s="4" t="n">
        <f aca="false">COUNTIF(Conferência!$A$4:$A$336,A5)</f>
        <v>25</v>
      </c>
      <c r="C5" s="4" t="n">
        <f aca="false">COUNTIFS(Conferência!$A$4:$A$336,$A5,Conferência!$K$4:$K$336,"Confere")</f>
        <v>25</v>
      </c>
      <c r="D5" s="4" t="n">
        <f aca="false">COUNTIFS(Conferência!$A$4:$A$336,$A5,Conferência!$K$4:$K$336,"Local diferente")</f>
        <v>0</v>
      </c>
      <c r="E5" s="4" t="n">
        <f aca="false">COUNTIFS(Conferência!$A$4:$A$336,$A5,Conferência!$K$4:$K$336,"Letra final diferente")</f>
        <v>0</v>
      </c>
      <c r="F5" s="4" t="n">
        <f aca="false">COUNTIFS(Conferência!$A$4:$A$336,$A5,Conferência!$K$4:$K$336,"Não encontrado")</f>
        <v>0</v>
      </c>
      <c r="G5" s="4" t="n">
        <f aca="false">COUNTIF(Sistema!$F$2:$F$421,A5)</f>
        <v>25</v>
      </c>
      <c r="H5" s="4" t="n">
        <f aca="false">COUNTIFS(Sistema!$F$2:$F$421,A5,Sistema!$H$2:$H$421,"Falta no Word")</f>
        <v>0</v>
      </c>
    </row>
    <row r="6" customFormat="false" ht="15" hidden="false" customHeight="false" outlineLevel="0" collapsed="false">
      <c r="A6" s="3" t="s">
        <v>11</v>
      </c>
      <c r="B6" s="4" t="n">
        <f aca="false">COUNTIF(Conferência!$A$4:$A$336,A6)</f>
        <v>26</v>
      </c>
      <c r="C6" s="4" t="n">
        <f aca="false">COUNTIFS(Conferência!$A$4:$A$336,$A6,Conferência!$K$4:$K$336,"Confere")</f>
        <v>24</v>
      </c>
      <c r="D6" s="4" t="n">
        <f aca="false">COUNTIFS(Conferência!$A$4:$A$336,$A6,Conferência!$K$4:$K$336,"Local diferente")</f>
        <v>1</v>
      </c>
      <c r="E6" s="4" t="n">
        <f aca="false">COUNTIFS(Conferência!$A$4:$A$336,$A6,Conferência!$K$4:$K$336,"Letra final diferente")</f>
        <v>0</v>
      </c>
      <c r="F6" s="4" t="n">
        <f aca="false">COUNTIFS(Conferência!$A$4:$A$336,$A6,Conferência!$K$4:$K$336,"Não encontrado")</f>
        <v>1</v>
      </c>
      <c r="G6" s="4" t="n">
        <f aca="false">COUNTIF(Sistema!$F$2:$F$421,A6)</f>
        <v>28</v>
      </c>
      <c r="H6" s="4" t="n">
        <f aca="false">COUNTIFS(Sistema!$F$2:$F$421,A6,Sistema!$H$2:$H$421,"Falta no Word")</f>
        <v>4</v>
      </c>
    </row>
    <row r="7" customFormat="false" ht="15" hidden="false" customHeight="false" outlineLevel="0" collapsed="false">
      <c r="A7" s="3" t="s">
        <v>12</v>
      </c>
      <c r="B7" s="4" t="n">
        <f aca="false">COUNTIF(Conferência!$A$4:$A$336,A7)</f>
        <v>24</v>
      </c>
      <c r="C7" s="4" t="n">
        <f aca="false">COUNTIFS(Conferência!$A$4:$A$336,$A7,Conferência!$K$4:$K$336,"Confere")</f>
        <v>17</v>
      </c>
      <c r="D7" s="4" t="n">
        <f aca="false">COUNTIFS(Conferência!$A$4:$A$336,$A7,Conferência!$K$4:$K$336,"Local diferente")</f>
        <v>2</v>
      </c>
      <c r="E7" s="4" t="n">
        <f aca="false">COUNTIFS(Conferência!$A$4:$A$336,$A7,Conferência!$K$4:$K$336,"Letra final diferente")</f>
        <v>0</v>
      </c>
      <c r="F7" s="4" t="n">
        <f aca="false">COUNTIFS(Conferência!$A$4:$A$336,$A7,Conferência!$K$4:$K$336,"Não encontrado")</f>
        <v>5</v>
      </c>
      <c r="G7" s="4" t="n">
        <f aca="false">COUNTIF(Sistema!$F$2:$F$421,A7)</f>
        <v>23</v>
      </c>
      <c r="H7" s="4" t="n">
        <f aca="false">COUNTIFS(Sistema!$F$2:$F$421,A7,Sistema!$H$2:$H$421,"Falta no Word")</f>
        <v>6</v>
      </c>
    </row>
    <row r="8" customFormat="false" ht="15" hidden="false" customHeight="false" outlineLevel="0" collapsed="false">
      <c r="A8" s="3" t="s">
        <v>13</v>
      </c>
      <c r="B8" s="4" t="n">
        <f aca="false">COUNTIF(Conferência!$A$4:$A$336,A8)</f>
        <v>25</v>
      </c>
      <c r="C8" s="4" t="n">
        <f aca="false">COUNTIFS(Conferência!$A$4:$A$336,$A8,Conferência!$K$4:$K$336,"Confere")</f>
        <v>24</v>
      </c>
      <c r="D8" s="4" t="n">
        <f aca="false">COUNTIFS(Conferência!$A$4:$A$336,$A8,Conferência!$K$4:$K$336,"Local diferente")</f>
        <v>1</v>
      </c>
      <c r="E8" s="4" t="n">
        <f aca="false">COUNTIFS(Conferência!$A$4:$A$336,$A8,Conferência!$K$4:$K$336,"Letra final diferente")</f>
        <v>0</v>
      </c>
      <c r="F8" s="4" t="n">
        <f aca="false">COUNTIFS(Conferência!$A$4:$A$336,$A8,Conferência!$K$4:$K$336,"Não encontrado")</f>
        <v>0</v>
      </c>
      <c r="G8" s="4" t="n">
        <f aca="false">COUNTIF(Sistema!$F$2:$F$421,A8)</f>
        <v>25</v>
      </c>
      <c r="H8" s="4" t="n">
        <f aca="false">COUNTIFS(Sistema!$F$2:$F$421,A8,Sistema!$H$2:$H$421,"Falta no Word")</f>
        <v>1</v>
      </c>
    </row>
    <row r="9" customFormat="false" ht="15" hidden="false" customHeight="false" outlineLevel="0" collapsed="false">
      <c r="A9" s="3" t="s">
        <v>14</v>
      </c>
      <c r="B9" s="4" t="n">
        <f aca="false">COUNTIF(Conferência!$A$4:$A$336,A9)</f>
        <v>32</v>
      </c>
      <c r="C9" s="4" t="n">
        <f aca="false">COUNTIFS(Conferência!$A$4:$A$336,$A9,Conferência!$K$4:$K$336,"Confere")</f>
        <v>32</v>
      </c>
      <c r="D9" s="4" t="n">
        <f aca="false">COUNTIFS(Conferência!$A$4:$A$336,$A9,Conferência!$K$4:$K$336,"Local diferente")</f>
        <v>0</v>
      </c>
      <c r="E9" s="4" t="n">
        <f aca="false">COUNTIFS(Conferência!$A$4:$A$336,$A9,Conferência!$K$4:$K$336,"Letra final diferente")</f>
        <v>0</v>
      </c>
      <c r="F9" s="4" t="n">
        <f aca="false">COUNTIFS(Conferência!$A$4:$A$336,$A9,Conferência!$K$4:$K$336,"Não encontrado")</f>
        <v>0</v>
      </c>
      <c r="G9" s="4" t="n">
        <f aca="false">COUNTIF(Sistema!$F$2:$F$421,A9)</f>
        <v>32</v>
      </c>
      <c r="H9" s="4" t="n">
        <f aca="false">COUNTIFS(Sistema!$F$2:$F$421,A9,Sistema!$H$2:$H$421,"Falta no Word")</f>
        <v>0</v>
      </c>
    </row>
    <row r="10" customFormat="false" ht="15" hidden="false" customHeight="false" outlineLevel="0" collapsed="false">
      <c r="A10" s="3" t="s">
        <v>15</v>
      </c>
      <c r="B10" s="4" t="n">
        <f aca="false">COUNTIF(Conferência!$A$4:$A$336,A10)</f>
        <v>31</v>
      </c>
      <c r="C10" s="4" t="n">
        <f aca="false">COUNTIFS(Conferência!$A$4:$A$336,$A10,Conferência!$K$4:$K$336,"Confere")</f>
        <v>25</v>
      </c>
      <c r="D10" s="4" t="n">
        <f aca="false">COUNTIFS(Conferência!$A$4:$A$336,$A10,Conferência!$K$4:$K$336,"Local diferente")</f>
        <v>2</v>
      </c>
      <c r="E10" s="4" t="n">
        <f aca="false">COUNTIFS(Conferência!$A$4:$A$336,$A10,Conferência!$K$4:$K$336,"Letra final diferente")</f>
        <v>1</v>
      </c>
      <c r="F10" s="4" t="n">
        <f aca="false">COUNTIFS(Conferência!$A$4:$A$336,$A10,Conferência!$K$4:$K$336,"Não encontrado")</f>
        <v>3</v>
      </c>
      <c r="G10" s="4" t="n">
        <f aca="false">COUNTIF(Sistema!$F$2:$F$421,A10)</f>
        <v>29</v>
      </c>
      <c r="H10" s="4" t="n">
        <f aca="false">COUNTIFS(Sistema!$F$2:$F$421,A10,Sistema!$H$2:$H$421,"Falta no Word")</f>
        <v>3</v>
      </c>
    </row>
    <row r="11" customFormat="false" ht="15" hidden="false" customHeight="false" outlineLevel="0" collapsed="false">
      <c r="A11" s="3" t="s">
        <v>16</v>
      </c>
      <c r="B11" s="4" t="n">
        <f aca="false">COUNTIF(Conferência!$A$4:$A$336,A11)</f>
        <v>28</v>
      </c>
      <c r="C11" s="4" t="n">
        <f aca="false">COUNTIFS(Conferência!$A$4:$A$336,$A11,Conferência!$K$4:$K$336,"Confere")</f>
        <v>25</v>
      </c>
      <c r="D11" s="4" t="n">
        <f aca="false">COUNTIFS(Conferência!$A$4:$A$336,$A11,Conferência!$K$4:$K$336,"Local diferente")</f>
        <v>1</v>
      </c>
      <c r="E11" s="4" t="n">
        <f aca="false">COUNTIFS(Conferência!$A$4:$A$336,$A11,Conferência!$K$4:$K$336,"Letra final diferente")</f>
        <v>0</v>
      </c>
      <c r="F11" s="4" t="n">
        <f aca="false">COUNTIFS(Conferência!$A$4:$A$336,$A11,Conferência!$K$4:$K$336,"Não encontrado")</f>
        <v>2</v>
      </c>
      <c r="G11" s="4" t="n">
        <f aca="false">COUNTIF(Sistema!$F$2:$F$421,A11)</f>
        <v>28</v>
      </c>
      <c r="H11" s="4" t="n">
        <f aca="false">COUNTIFS(Sistema!$F$2:$F$421,A11,Sistema!$H$2:$H$421,"Falta no Word")</f>
        <v>3</v>
      </c>
    </row>
    <row r="12" customFormat="false" ht="15" hidden="false" customHeight="false" outlineLevel="0" collapsed="false">
      <c r="A12" s="3" t="s">
        <v>17</v>
      </c>
      <c r="B12" s="4" t="n">
        <f aca="false">COUNTIF(Conferência!$A$4:$A$336,A12)</f>
        <v>24</v>
      </c>
      <c r="C12" s="4" t="n">
        <f aca="false">COUNTIFS(Conferência!$A$4:$A$336,$A12,Conferência!$K$4:$K$336,"Confere")</f>
        <v>24</v>
      </c>
      <c r="D12" s="4" t="n">
        <f aca="false">COUNTIFS(Conferência!$A$4:$A$336,$A12,Conferência!$K$4:$K$336,"Local diferente")</f>
        <v>0</v>
      </c>
      <c r="E12" s="4" t="n">
        <f aca="false">COUNTIFS(Conferência!$A$4:$A$336,$A12,Conferência!$K$4:$K$336,"Letra final diferente")</f>
        <v>0</v>
      </c>
      <c r="F12" s="4" t="n">
        <f aca="false">COUNTIFS(Conferência!$A$4:$A$336,$A12,Conferência!$K$4:$K$336,"Não encontrado")</f>
        <v>0</v>
      </c>
      <c r="G12" s="4" t="n">
        <f aca="false">COUNTIF(Sistema!$F$2:$F$421,A12)</f>
        <v>26</v>
      </c>
      <c r="H12" s="4" t="n">
        <f aca="false">COUNTIFS(Sistema!$F$2:$F$421,A12,Sistema!$H$2:$H$421,"Falta no Word")</f>
        <v>2</v>
      </c>
    </row>
    <row r="13" customFormat="false" ht="15" hidden="false" customHeight="false" outlineLevel="0" collapsed="false">
      <c r="A13" s="3" t="s">
        <v>18</v>
      </c>
      <c r="B13" s="4" t="n">
        <f aca="false">COUNTIF(Conferência!$A$4:$A$336,A13)</f>
        <v>24</v>
      </c>
      <c r="C13" s="4" t="n">
        <f aca="false">COUNTIFS(Conferência!$A$4:$A$336,$A13,Conferência!$K$4:$K$336,"Confere")</f>
        <v>24</v>
      </c>
      <c r="D13" s="4" t="n">
        <f aca="false">COUNTIFS(Conferência!$A$4:$A$336,$A13,Conferência!$K$4:$K$336,"Local diferente")</f>
        <v>0</v>
      </c>
      <c r="E13" s="4" t="n">
        <f aca="false">COUNTIFS(Conferência!$A$4:$A$336,$A13,Conferência!$K$4:$K$336,"Letra final diferente")</f>
        <v>0</v>
      </c>
      <c r="F13" s="4" t="n">
        <f aca="false">COUNTIFS(Conferência!$A$4:$A$336,$A13,Conferência!$K$4:$K$336,"Não encontrado")</f>
        <v>0</v>
      </c>
      <c r="G13" s="4" t="n">
        <f aca="false">COUNTIF(Sistema!$F$2:$F$421,A13)</f>
        <v>26</v>
      </c>
      <c r="H13" s="4" t="n">
        <f aca="false">COUNTIFS(Sistema!$F$2:$F$421,A13,Sistema!$H$2:$H$421,"Falta no Word")</f>
        <v>2</v>
      </c>
    </row>
    <row r="14" customFormat="false" ht="15" hidden="false" customHeight="false" outlineLevel="0" collapsed="false">
      <c r="A14" s="3" t="s">
        <v>19</v>
      </c>
      <c r="B14" s="4" t="n">
        <f aca="false">COUNTIF(Conferência!$A$4:$A$336,A14)</f>
        <v>25</v>
      </c>
      <c r="C14" s="4" t="n">
        <f aca="false">COUNTIFS(Conferência!$A$4:$A$336,$A14,Conferência!$K$4:$K$336,"Confere")</f>
        <v>23</v>
      </c>
      <c r="D14" s="4" t="n">
        <f aca="false">COUNTIFS(Conferência!$A$4:$A$336,$A14,Conferência!$K$4:$K$336,"Local diferente")</f>
        <v>0</v>
      </c>
      <c r="E14" s="4" t="n">
        <f aca="false">COUNTIFS(Conferência!$A$4:$A$336,$A14,Conferência!$K$4:$K$336,"Letra final diferente")</f>
        <v>0</v>
      </c>
      <c r="F14" s="4" t="n">
        <f aca="false">COUNTIFS(Conferência!$A$4:$A$336,$A14,Conferência!$K$4:$K$336,"Não encontrado")</f>
        <v>2</v>
      </c>
      <c r="G14" s="4" t="n">
        <f aca="false">COUNTIF(Sistema!$F$2:$F$421,A14)</f>
        <v>29</v>
      </c>
      <c r="H14" s="4" t="n">
        <f aca="false">COUNTIFS(Sistema!$F$2:$F$421,A14,Sistema!$H$2:$H$421,"Falta no Word")</f>
        <v>6</v>
      </c>
    </row>
    <row r="15" customFormat="false" ht="15" hidden="false" customHeight="false" outlineLevel="0" collapsed="false">
      <c r="A15" s="3" t="s">
        <v>20</v>
      </c>
      <c r="B15" s="4" t="n">
        <f aca="false">COUNTIF(Conferência!$A$4:$A$336,A15)</f>
        <v>12</v>
      </c>
      <c r="C15" s="4" t="n">
        <f aca="false">COUNTIFS(Conferência!$A$4:$A$336,$A15,Conferência!$K$4:$K$336,"Confere")</f>
        <v>10</v>
      </c>
      <c r="D15" s="4" t="n">
        <f aca="false">COUNTIFS(Conferência!$A$4:$A$336,$A15,Conferência!$K$4:$K$336,"Local diferente")</f>
        <v>2</v>
      </c>
      <c r="E15" s="4" t="n">
        <f aca="false">COUNTIFS(Conferência!$A$4:$A$336,$A15,Conferência!$K$4:$K$336,"Letra final diferente")</f>
        <v>0</v>
      </c>
      <c r="F15" s="4" t="n">
        <f aca="false">COUNTIFS(Conferência!$A$4:$A$336,$A15,Conferência!$K$4:$K$336,"Não encontrado")</f>
        <v>0</v>
      </c>
      <c r="G15" s="4" t="n">
        <f aca="false">COUNTIF(Sistema!$F$2:$F$421,A15)</f>
        <v>13</v>
      </c>
      <c r="H15" s="4" t="n">
        <f aca="false">COUNTIFS(Sistema!$F$2:$F$421,A15,Sistema!$H$2:$H$421,"Falta no Word")</f>
        <v>3</v>
      </c>
    </row>
    <row r="16" customFormat="false" ht="15" hidden="false" customHeight="false" outlineLevel="0" collapsed="false">
      <c r="A16" s="3" t="s">
        <v>21</v>
      </c>
      <c r="B16" s="4" t="n">
        <f aca="false">COUNTIF(Conferência!$A$4:$A$336,A16)</f>
        <v>29</v>
      </c>
      <c r="C16" s="4" t="n">
        <f aca="false">COUNTIFS(Conferência!$A$4:$A$336,$A16,Conferência!$K$4:$K$336,"Confere")</f>
        <v>12</v>
      </c>
      <c r="D16" s="4" t="n">
        <f aca="false">COUNTIFS(Conferência!$A$4:$A$336,$A16,Conferência!$K$4:$K$336,"Local diferente")</f>
        <v>15</v>
      </c>
      <c r="E16" s="4" t="n">
        <f aca="false">COUNTIFS(Conferência!$A$4:$A$336,$A16,Conferência!$K$4:$K$336,"Letra final diferente")</f>
        <v>1</v>
      </c>
      <c r="F16" s="4" t="n">
        <f aca="false">COUNTIFS(Conferência!$A$4:$A$336,$A16,Conferência!$K$4:$K$336,"Não encontrado")</f>
        <v>1</v>
      </c>
      <c r="G16" s="4" t="n">
        <f aca="false">COUNTIF(Sistema!$F$2:$F$421,A16)</f>
        <v>15</v>
      </c>
      <c r="H16" s="4" t="n">
        <f aca="false">COUNTIFS(Sistema!$F$2:$F$421,A16,Sistema!$H$2:$H$421,"Falta no Word")</f>
        <v>2</v>
      </c>
    </row>
    <row r="17" customFormat="false" ht="15" hidden="false" customHeight="false" outlineLevel="0" collapsed="false">
      <c r="A17" s="5" t="s">
        <v>22</v>
      </c>
      <c r="B17" s="6" t="n">
        <f aca="false">SUM(B4:B16)</f>
        <v>333</v>
      </c>
      <c r="C17" s="6" t="n">
        <f aca="false">SUM(C4:C16)</f>
        <v>291</v>
      </c>
      <c r="D17" s="6" t="n">
        <f aca="false">SUM(D4:D16)</f>
        <v>24</v>
      </c>
      <c r="E17" s="6" t="n">
        <f aca="false">SUM(E4:E16)</f>
        <v>2</v>
      </c>
      <c r="F17" s="6" t="n">
        <f aca="false">SUM(F4:F16)</f>
        <v>16</v>
      </c>
      <c r="G17" s="6" t="n">
        <f aca="false">SUM(G4:G16)</f>
        <v>328</v>
      </c>
      <c r="H17" s="6" t="n">
        <f aca="false">SUM(H4:H16)</f>
        <v>35</v>
      </c>
    </row>
    <row r="19" customFormat="false" ht="15" hidden="false" customHeight="false" outlineLevel="0" collapsed="false">
      <c r="A19" s="3" t="s">
        <v>23</v>
      </c>
      <c r="B19" s="4" t="n">
        <f aca="false">COUNTA(Sistema!D2:D421)</f>
        <v>420</v>
      </c>
    </row>
    <row r="20" customFormat="false" ht="15" hidden="false" customHeight="false" outlineLevel="0" collapsed="false">
      <c r="A20" s="3" t="s">
        <v>24</v>
      </c>
      <c r="B20" s="4" t="n">
        <f aca="false">COUNTA(Divergências!A5:A64)</f>
        <v>60</v>
      </c>
    </row>
    <row r="21" customFormat="false" ht="15" hidden="false" customHeight="false" outlineLevel="0" collapsed="false">
      <c r="A21" s="3" t="s">
        <v>25</v>
      </c>
      <c r="B21" s="4" t="n">
        <f aca="false">COUNTIF(Divergências!K5:K64,"Sim")</f>
        <v>0</v>
      </c>
    </row>
    <row r="23" customFormat="false" ht="15" hidden="false" customHeight="false" outlineLevel="0" collapsed="false">
      <c r="A23" s="7" t="s">
        <v>26</v>
      </c>
    </row>
    <row r="24" customFormat="false" ht="15" hidden="false" customHeight="false" outlineLevel="0" collapsed="false">
      <c r="A24" s="7" t="s">
        <v>27</v>
      </c>
    </row>
    <row r="25" customFormat="false" ht="15" hidden="false" customHeight="false" outlineLevel="0" collapsed="false">
      <c r="A25" s="7" t="s">
        <v>28</v>
      </c>
    </row>
    <row r="26" customFormat="false" ht="15" hidden="false" customHeight="false" outlineLevel="0" collapsed="false">
      <c r="A26" s="7" t="s">
        <v>29</v>
      </c>
    </row>
    <row r="27" customFormat="false" ht="15" hidden="false" customHeight="false" outlineLevel="0" collapsed="false">
      <c r="A27" s="7" t="s">
        <v>30</v>
      </c>
    </row>
    <row r="28" customFormat="false" ht="15" hidden="false" customHeight="false" outlineLevel="0" collapsed="false">
      <c r="A28" s="7" t="s">
        <v>31</v>
      </c>
    </row>
    <row r="29" customFormat="false" ht="15" hidden="false" customHeight="false" outlineLevel="0" collapsed="false">
      <c r="A29" s="7" t="s">
        <v>32</v>
      </c>
    </row>
    <row r="30" customFormat="false" ht="15" hidden="false" customHeight="false" outlineLevel="0" collapsed="false">
      <c r="A30" s="7" t="s">
        <v>33</v>
      </c>
    </row>
    <row r="31" customFormat="false" ht="15" hidden="false" customHeight="false" outlineLevel="0" collapsed="false">
      <c r="A31" s="7"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0"/>
    <col collapsed="false" customWidth="true" hidden="false" outlineLevel="0" max="4" min="4" style="0" width="24"/>
    <col collapsed="false" customWidth="true" hidden="false" outlineLevel="0" max="5" min="5" style="0" width="22"/>
    <col collapsed="false" customWidth="true" hidden="false" outlineLevel="0" max="6" min="6" style="0" width="14"/>
    <col collapsed="false" customWidth="true" hidden="false" outlineLevel="0" max="8" min="7" style="0" width="22"/>
    <col collapsed="false" customWidth="true" hidden="false" outlineLevel="0" max="9" min="9" style="0" width="48"/>
    <col collapsed="false" customWidth="true" hidden="false" outlineLevel="0" max="10" min="10" style="0" width="58"/>
    <col collapsed="false" customWidth="true" hidden="false" outlineLevel="0" max="11" min="11" style="0" width="13"/>
    <col collapsed="false" customWidth="true" hidden="false" outlineLevel="0" max="12" min="12" style="0" width="36"/>
  </cols>
  <sheetData>
    <row r="1" customFormat="false" ht="17.35" hidden="false" customHeight="false" outlineLevel="0" collapsed="false">
      <c r="A1" s="8" t="s">
        <v>35</v>
      </c>
      <c r="B1" s="8"/>
      <c r="C1" s="8"/>
      <c r="D1" s="8"/>
      <c r="E1" s="8"/>
      <c r="F1" s="8"/>
      <c r="G1" s="8"/>
      <c r="H1" s="8"/>
      <c r="I1" s="8"/>
      <c r="J1" s="8"/>
      <c r="K1" s="8"/>
    </row>
    <row r="2" customFormat="false" ht="15" hidden="false" customHeight="false" outlineLevel="0" collapsed="false">
      <c r="A2" s="7" t="s">
        <v>36</v>
      </c>
    </row>
    <row r="4" customFormat="false" ht="31.5" hidden="false" customHeight="true" outlineLevel="0" collapsed="false">
      <c r="A4" s="2" t="s">
        <v>37</v>
      </c>
      <c r="B4" s="2" t="s">
        <v>1</v>
      </c>
      <c r="C4" s="2" t="s">
        <v>38</v>
      </c>
      <c r="D4" s="2" t="s">
        <v>39</v>
      </c>
      <c r="E4" s="2" t="s">
        <v>40</v>
      </c>
      <c r="F4" s="2" t="s">
        <v>41</v>
      </c>
      <c r="G4" s="2" t="s">
        <v>42</v>
      </c>
      <c r="H4" s="2" t="s">
        <v>43</v>
      </c>
      <c r="I4" s="2" t="s">
        <v>44</v>
      </c>
      <c r="J4" s="2" t="s">
        <v>45</v>
      </c>
      <c r="K4" s="2" t="s">
        <v>46</v>
      </c>
      <c r="L4" s="2" t="s">
        <v>47</v>
      </c>
    </row>
    <row r="5" customFormat="false" ht="111.75" hidden="false" customHeight="true" outlineLevel="0" collapsed="false">
      <c r="A5" s="9" t="n">
        <v>1</v>
      </c>
      <c r="B5" s="9" t="s">
        <v>48</v>
      </c>
      <c r="C5" s="9" t="n">
        <v>12</v>
      </c>
      <c r="D5" s="10" t="s">
        <v>49</v>
      </c>
      <c r="E5" s="10" t="s">
        <v>50</v>
      </c>
      <c r="F5" s="9" t="n">
        <v>413983</v>
      </c>
      <c r="G5" s="10" t="s">
        <v>51</v>
      </c>
      <c r="H5" s="10"/>
      <c r="I5" s="10" t="s">
        <v>52</v>
      </c>
      <c r="J5" s="10" t="s">
        <v>53</v>
      </c>
      <c r="K5" s="9" t="s">
        <v>54</v>
      </c>
      <c r="L5" s="10"/>
    </row>
    <row r="6" customFormat="false" ht="111.75" hidden="false" customHeight="true" outlineLevel="0" collapsed="false">
      <c r="A6" s="9" t="n">
        <v>2</v>
      </c>
      <c r="B6" s="9" t="s">
        <v>48</v>
      </c>
      <c r="C6" s="9" t="n">
        <v>20</v>
      </c>
      <c r="D6" s="10" t="s">
        <v>55</v>
      </c>
      <c r="E6" s="10" t="s">
        <v>56</v>
      </c>
      <c r="F6" s="9" t="n">
        <v>413913</v>
      </c>
      <c r="G6" s="10" t="s">
        <v>57</v>
      </c>
      <c r="H6" s="10" t="s">
        <v>9</v>
      </c>
      <c r="I6" s="10" t="s">
        <v>58</v>
      </c>
      <c r="J6" s="10" t="s">
        <v>59</v>
      </c>
      <c r="K6" s="9" t="s">
        <v>54</v>
      </c>
      <c r="L6" s="10"/>
    </row>
    <row r="7" customFormat="false" ht="150" hidden="false" customHeight="true" outlineLevel="0" collapsed="false">
      <c r="A7" s="9" t="n">
        <v>3</v>
      </c>
      <c r="B7" s="9" t="s">
        <v>48</v>
      </c>
      <c r="C7" s="9" t="s">
        <v>60</v>
      </c>
      <c r="D7" s="10" t="s">
        <v>61</v>
      </c>
      <c r="E7" s="10" t="s">
        <v>60</v>
      </c>
      <c r="F7" s="9" t="s">
        <v>60</v>
      </c>
      <c r="G7" s="10" t="s">
        <v>62</v>
      </c>
      <c r="H7" s="10" t="s">
        <v>9</v>
      </c>
      <c r="I7" s="10" t="s">
        <v>63</v>
      </c>
      <c r="J7" s="10" t="s">
        <v>64</v>
      </c>
      <c r="K7" s="9" t="s">
        <v>54</v>
      </c>
      <c r="L7" s="10"/>
    </row>
    <row r="8" customFormat="false" ht="111.75" hidden="false" customHeight="true" outlineLevel="0" collapsed="false">
      <c r="A8" s="9" t="n">
        <v>4</v>
      </c>
      <c r="B8" s="9" t="s">
        <v>65</v>
      </c>
      <c r="C8" s="9" t="n">
        <v>1</v>
      </c>
      <c r="D8" s="10" t="s">
        <v>55</v>
      </c>
      <c r="E8" s="10" t="s">
        <v>66</v>
      </c>
      <c r="F8" s="9" t="n">
        <v>408646</v>
      </c>
      <c r="G8" s="10" t="s">
        <v>67</v>
      </c>
      <c r="H8" s="10" t="s">
        <v>11</v>
      </c>
      <c r="I8" s="10" t="s">
        <v>68</v>
      </c>
      <c r="J8" s="10" t="s">
        <v>69</v>
      </c>
      <c r="K8" s="9" t="s">
        <v>54</v>
      </c>
      <c r="L8" s="10"/>
    </row>
    <row r="9" customFormat="false" ht="111.75" hidden="false" customHeight="true" outlineLevel="0" collapsed="false">
      <c r="A9" s="9" t="n">
        <v>5</v>
      </c>
      <c r="B9" s="9" t="s">
        <v>65</v>
      </c>
      <c r="C9" s="9" t="n">
        <v>26</v>
      </c>
      <c r="D9" s="10" t="s">
        <v>70</v>
      </c>
      <c r="E9" s="10" t="s">
        <v>71</v>
      </c>
      <c r="F9" s="9" t="n">
        <v>414451</v>
      </c>
      <c r="G9" s="10" t="s">
        <v>71</v>
      </c>
      <c r="H9" s="10" t="s">
        <v>20</v>
      </c>
      <c r="I9" s="10" t="s">
        <v>72</v>
      </c>
      <c r="J9" s="10" t="s">
        <v>73</v>
      </c>
      <c r="K9" s="9" t="s">
        <v>54</v>
      </c>
      <c r="L9" s="10"/>
    </row>
    <row r="10" customFormat="false" ht="150" hidden="false" customHeight="true" outlineLevel="0" collapsed="false">
      <c r="A10" s="9" t="n">
        <v>6</v>
      </c>
      <c r="B10" s="9" t="s">
        <v>65</v>
      </c>
      <c r="C10" s="9" t="s">
        <v>60</v>
      </c>
      <c r="D10" s="10" t="s">
        <v>61</v>
      </c>
      <c r="E10" s="10" t="s">
        <v>60</v>
      </c>
      <c r="F10" s="9" t="s">
        <v>60</v>
      </c>
      <c r="G10" s="10" t="s">
        <v>74</v>
      </c>
      <c r="H10" s="10" t="s">
        <v>11</v>
      </c>
      <c r="I10" s="10" t="s">
        <v>75</v>
      </c>
      <c r="J10" s="10" t="s">
        <v>76</v>
      </c>
      <c r="K10" s="9" t="s">
        <v>54</v>
      </c>
      <c r="L10" s="10"/>
    </row>
    <row r="11" customFormat="false" ht="150" hidden="false" customHeight="true" outlineLevel="0" collapsed="false">
      <c r="A11" s="9" t="n">
        <v>7</v>
      </c>
      <c r="B11" s="9" t="s">
        <v>65</v>
      </c>
      <c r="C11" s="9" t="s">
        <v>60</v>
      </c>
      <c r="D11" s="10" t="s">
        <v>61</v>
      </c>
      <c r="E11" s="10" t="s">
        <v>60</v>
      </c>
      <c r="F11" s="9" t="s">
        <v>60</v>
      </c>
      <c r="G11" s="10" t="s">
        <v>77</v>
      </c>
      <c r="H11" s="10" t="s">
        <v>11</v>
      </c>
      <c r="I11" s="10" t="s">
        <v>75</v>
      </c>
      <c r="J11" s="10" t="s">
        <v>78</v>
      </c>
      <c r="K11" s="9" t="s">
        <v>54</v>
      </c>
      <c r="L11" s="10"/>
    </row>
    <row r="12" customFormat="false" ht="150" hidden="false" customHeight="true" outlineLevel="0" collapsed="false">
      <c r="A12" s="9" t="n">
        <v>8</v>
      </c>
      <c r="B12" s="9" t="s">
        <v>65</v>
      </c>
      <c r="C12" s="9" t="s">
        <v>60</v>
      </c>
      <c r="D12" s="10" t="s">
        <v>61</v>
      </c>
      <c r="E12" s="10" t="s">
        <v>60</v>
      </c>
      <c r="F12" s="9" t="s">
        <v>60</v>
      </c>
      <c r="G12" s="10" t="s">
        <v>79</v>
      </c>
      <c r="H12" s="10" t="s">
        <v>11</v>
      </c>
      <c r="I12" s="10" t="s">
        <v>80</v>
      </c>
      <c r="J12" s="10" t="s">
        <v>81</v>
      </c>
      <c r="K12" s="9" t="s">
        <v>54</v>
      </c>
      <c r="L12" s="10"/>
    </row>
    <row r="13" customFormat="false" ht="111.75" hidden="false" customHeight="true" outlineLevel="0" collapsed="false">
      <c r="A13" s="9" t="n">
        <v>9</v>
      </c>
      <c r="B13" s="9" t="s">
        <v>82</v>
      </c>
      <c r="C13" s="9" t="n">
        <v>4</v>
      </c>
      <c r="D13" s="10" t="s">
        <v>70</v>
      </c>
      <c r="E13" s="10" t="s">
        <v>83</v>
      </c>
      <c r="F13" s="9" t="n">
        <v>414345</v>
      </c>
      <c r="G13" s="10" t="s">
        <v>83</v>
      </c>
      <c r="H13" s="10" t="s">
        <v>9</v>
      </c>
      <c r="I13" s="10" t="s">
        <v>84</v>
      </c>
      <c r="J13" s="10" t="s">
        <v>85</v>
      </c>
      <c r="K13" s="9" t="s">
        <v>54</v>
      </c>
      <c r="L13" s="10"/>
    </row>
    <row r="14" customFormat="false" ht="111.75" hidden="false" customHeight="true" outlineLevel="0" collapsed="false">
      <c r="A14" s="9" t="n">
        <v>10</v>
      </c>
      <c r="B14" s="9" t="s">
        <v>82</v>
      </c>
      <c r="C14" s="9" t="n">
        <v>9</v>
      </c>
      <c r="D14" s="10" t="s">
        <v>55</v>
      </c>
      <c r="E14" s="10" t="s">
        <v>86</v>
      </c>
      <c r="F14" s="9" t="n">
        <v>415279</v>
      </c>
      <c r="G14" s="10" t="s">
        <v>87</v>
      </c>
      <c r="H14" s="10" t="s">
        <v>12</v>
      </c>
      <c r="I14" s="10" t="s">
        <v>88</v>
      </c>
      <c r="J14" s="10" t="s">
        <v>89</v>
      </c>
      <c r="K14" s="9" t="s">
        <v>54</v>
      </c>
      <c r="L14" s="10"/>
    </row>
    <row r="15" customFormat="false" ht="111.75" hidden="false" customHeight="true" outlineLevel="0" collapsed="false">
      <c r="A15" s="9" t="n">
        <v>11</v>
      </c>
      <c r="B15" s="9" t="s">
        <v>82</v>
      </c>
      <c r="C15" s="9" t="n">
        <v>12</v>
      </c>
      <c r="D15" s="10" t="s">
        <v>55</v>
      </c>
      <c r="E15" s="10" t="s">
        <v>90</v>
      </c>
      <c r="F15" s="9" t="n">
        <v>415334</v>
      </c>
      <c r="G15" s="10" t="s">
        <v>91</v>
      </c>
      <c r="H15" s="10" t="s">
        <v>12</v>
      </c>
      <c r="I15" s="10" t="s">
        <v>92</v>
      </c>
      <c r="J15" s="10" t="s">
        <v>93</v>
      </c>
      <c r="K15" s="9" t="s">
        <v>54</v>
      </c>
      <c r="L15" s="10"/>
    </row>
    <row r="16" customFormat="false" ht="111.75" hidden="false" customHeight="true" outlineLevel="0" collapsed="false">
      <c r="A16" s="9" t="n">
        <v>12</v>
      </c>
      <c r="B16" s="9" t="s">
        <v>82</v>
      </c>
      <c r="C16" s="9" t="n">
        <v>17</v>
      </c>
      <c r="D16" s="10" t="s">
        <v>55</v>
      </c>
      <c r="E16" s="10" t="s">
        <v>94</v>
      </c>
      <c r="F16" s="9" t="n">
        <v>415312</v>
      </c>
      <c r="G16" s="10" t="s">
        <v>95</v>
      </c>
      <c r="H16" s="10" t="s">
        <v>12</v>
      </c>
      <c r="I16" s="10" t="s">
        <v>96</v>
      </c>
      <c r="J16" s="10" t="s">
        <v>97</v>
      </c>
      <c r="K16" s="9" t="s">
        <v>54</v>
      </c>
      <c r="L16" s="10"/>
    </row>
    <row r="17" customFormat="false" ht="111.75" hidden="false" customHeight="true" outlineLevel="0" collapsed="false">
      <c r="A17" s="9" t="n">
        <v>13</v>
      </c>
      <c r="B17" s="9" t="s">
        <v>82</v>
      </c>
      <c r="C17" s="9" t="n">
        <v>20</v>
      </c>
      <c r="D17" s="10" t="s">
        <v>55</v>
      </c>
      <c r="E17" s="10" t="s">
        <v>98</v>
      </c>
      <c r="F17" s="9" t="n">
        <v>415264</v>
      </c>
      <c r="G17" s="10" t="s">
        <v>99</v>
      </c>
      <c r="H17" s="10" t="s">
        <v>12</v>
      </c>
      <c r="I17" s="10" t="s">
        <v>100</v>
      </c>
      <c r="J17" s="10" t="s">
        <v>101</v>
      </c>
      <c r="K17" s="9" t="s">
        <v>54</v>
      </c>
      <c r="L17" s="10"/>
    </row>
    <row r="18" customFormat="false" ht="111.75" hidden="false" customHeight="true" outlineLevel="0" collapsed="false">
      <c r="A18" s="9" t="n">
        <v>14</v>
      </c>
      <c r="B18" s="9" t="s">
        <v>82</v>
      </c>
      <c r="C18" s="9" t="n">
        <v>21</v>
      </c>
      <c r="D18" s="10" t="s">
        <v>70</v>
      </c>
      <c r="E18" s="10" t="s">
        <v>102</v>
      </c>
      <c r="F18" s="9" t="n">
        <v>415371</v>
      </c>
      <c r="G18" s="10" t="s">
        <v>102</v>
      </c>
      <c r="H18" s="10" t="s">
        <v>103</v>
      </c>
      <c r="I18" s="10" t="s">
        <v>104</v>
      </c>
      <c r="J18" s="10" t="s">
        <v>105</v>
      </c>
      <c r="K18" s="9" t="s">
        <v>54</v>
      </c>
      <c r="L18" s="10"/>
    </row>
    <row r="19" customFormat="false" ht="111.75" hidden="false" customHeight="true" outlineLevel="0" collapsed="false">
      <c r="A19" s="9" t="n">
        <v>15</v>
      </c>
      <c r="B19" s="9" t="s">
        <v>82</v>
      </c>
      <c r="C19" s="9" t="n">
        <v>23</v>
      </c>
      <c r="D19" s="10" t="s">
        <v>55</v>
      </c>
      <c r="E19" s="10" t="s">
        <v>106</v>
      </c>
      <c r="F19" s="9" t="n">
        <v>415307</v>
      </c>
      <c r="G19" s="10" t="s">
        <v>107</v>
      </c>
      <c r="H19" s="10" t="s">
        <v>12</v>
      </c>
      <c r="I19" s="10" t="s">
        <v>108</v>
      </c>
      <c r="J19" s="10" t="s">
        <v>109</v>
      </c>
      <c r="K19" s="9" t="s">
        <v>54</v>
      </c>
      <c r="L19" s="10"/>
    </row>
    <row r="20" customFormat="false" ht="150" hidden="false" customHeight="true" outlineLevel="0" collapsed="false">
      <c r="A20" s="9" t="n">
        <v>16</v>
      </c>
      <c r="B20" s="9" t="s">
        <v>82</v>
      </c>
      <c r="C20" s="9" t="s">
        <v>60</v>
      </c>
      <c r="D20" s="10" t="s">
        <v>61</v>
      </c>
      <c r="E20" s="10" t="s">
        <v>60</v>
      </c>
      <c r="F20" s="9" t="s">
        <v>60</v>
      </c>
      <c r="G20" s="10" t="s">
        <v>110</v>
      </c>
      <c r="H20" s="10" t="s">
        <v>12</v>
      </c>
      <c r="I20" s="10" t="s">
        <v>111</v>
      </c>
      <c r="J20" s="10" t="s">
        <v>112</v>
      </c>
      <c r="K20" s="9" t="s">
        <v>54</v>
      </c>
      <c r="L20" s="10"/>
    </row>
    <row r="21" customFormat="false" ht="111.75" hidden="false" customHeight="true" outlineLevel="0" collapsed="false">
      <c r="A21" s="9" t="n">
        <v>17</v>
      </c>
      <c r="B21" s="9" t="s">
        <v>113</v>
      </c>
      <c r="C21" s="9" t="n">
        <v>2</v>
      </c>
      <c r="D21" s="10" t="s">
        <v>70</v>
      </c>
      <c r="E21" s="10" t="s">
        <v>114</v>
      </c>
      <c r="F21" s="9" t="n">
        <v>382911</v>
      </c>
      <c r="G21" s="10" t="s">
        <v>114</v>
      </c>
      <c r="H21" s="10" t="s">
        <v>19</v>
      </c>
      <c r="I21" s="10" t="s">
        <v>115</v>
      </c>
      <c r="J21" s="10" t="s">
        <v>116</v>
      </c>
      <c r="K21" s="9" t="s">
        <v>54</v>
      </c>
      <c r="L21" s="10"/>
    </row>
    <row r="22" customFormat="false" ht="150" hidden="false" customHeight="true" outlineLevel="0" collapsed="false">
      <c r="A22" s="9" t="n">
        <v>18</v>
      </c>
      <c r="B22" s="9" t="s">
        <v>113</v>
      </c>
      <c r="C22" s="9" t="s">
        <v>60</v>
      </c>
      <c r="D22" s="10" t="s">
        <v>61</v>
      </c>
      <c r="E22" s="10" t="s">
        <v>60</v>
      </c>
      <c r="F22" s="9" t="s">
        <v>60</v>
      </c>
      <c r="G22" s="10" t="s">
        <v>117</v>
      </c>
      <c r="H22" s="10" t="s">
        <v>13</v>
      </c>
      <c r="I22" s="10" t="s">
        <v>118</v>
      </c>
      <c r="J22" s="10" t="s">
        <v>119</v>
      </c>
      <c r="K22" s="9" t="s">
        <v>54</v>
      </c>
      <c r="L22" s="10"/>
    </row>
    <row r="23" customFormat="false" ht="111.75" hidden="false" customHeight="true" outlineLevel="0" collapsed="false">
      <c r="A23" s="9" t="n">
        <v>19</v>
      </c>
      <c r="B23" s="9" t="s">
        <v>120</v>
      </c>
      <c r="C23" s="9" t="n">
        <v>1</v>
      </c>
      <c r="D23" s="10" t="s">
        <v>70</v>
      </c>
      <c r="E23" s="10" t="s">
        <v>121</v>
      </c>
      <c r="F23" s="9" t="n">
        <v>503621</v>
      </c>
      <c r="G23" s="10" t="s">
        <v>122</v>
      </c>
      <c r="H23" s="10" t="s">
        <v>123</v>
      </c>
      <c r="I23" s="10" t="s">
        <v>124</v>
      </c>
      <c r="J23" s="10" t="s">
        <v>125</v>
      </c>
      <c r="K23" s="9" t="s">
        <v>54</v>
      </c>
      <c r="L23" s="10"/>
    </row>
    <row r="24" customFormat="false" ht="111.75" hidden="false" customHeight="true" outlineLevel="0" collapsed="false">
      <c r="A24" s="9" t="n">
        <v>20</v>
      </c>
      <c r="B24" s="9" t="s">
        <v>120</v>
      </c>
      <c r="C24" s="9" t="n">
        <v>10</v>
      </c>
      <c r="D24" s="10" t="s">
        <v>55</v>
      </c>
      <c r="E24" s="10" t="s">
        <v>126</v>
      </c>
      <c r="F24" s="9" t="n">
        <v>508254</v>
      </c>
      <c r="G24" s="10" t="s">
        <v>127</v>
      </c>
      <c r="H24" s="10" t="s">
        <v>15</v>
      </c>
      <c r="I24" s="10" t="s">
        <v>128</v>
      </c>
      <c r="J24" s="10" t="s">
        <v>129</v>
      </c>
      <c r="K24" s="9" t="s">
        <v>54</v>
      </c>
      <c r="L24" s="10"/>
    </row>
    <row r="25" customFormat="false" ht="111.75" hidden="false" customHeight="true" outlineLevel="0" collapsed="false">
      <c r="A25" s="9" t="n">
        <v>21</v>
      </c>
      <c r="B25" s="9" t="s">
        <v>120</v>
      </c>
      <c r="C25" s="9" t="n">
        <v>14</v>
      </c>
      <c r="D25" s="10" t="s">
        <v>70</v>
      </c>
      <c r="E25" s="10" t="s">
        <v>130</v>
      </c>
      <c r="F25" s="9" t="n">
        <v>505200</v>
      </c>
      <c r="G25" s="10" t="s">
        <v>131</v>
      </c>
      <c r="H25" s="10" t="s">
        <v>21</v>
      </c>
      <c r="I25" s="10" t="s">
        <v>132</v>
      </c>
      <c r="J25" s="10" t="s">
        <v>133</v>
      </c>
      <c r="K25" s="9" t="s">
        <v>54</v>
      </c>
      <c r="L25" s="10"/>
    </row>
    <row r="26" customFormat="false" ht="111.75" hidden="false" customHeight="true" outlineLevel="0" collapsed="false">
      <c r="A26" s="9" t="n">
        <v>22</v>
      </c>
      <c r="B26" s="9" t="s">
        <v>120</v>
      </c>
      <c r="C26" s="9" t="n">
        <v>17</v>
      </c>
      <c r="D26" s="10" t="s">
        <v>55</v>
      </c>
      <c r="E26" s="10" t="s">
        <v>134</v>
      </c>
      <c r="F26" s="9" t="n">
        <v>508233</v>
      </c>
      <c r="G26" s="10" t="s">
        <v>135</v>
      </c>
      <c r="H26" s="10" t="s">
        <v>15</v>
      </c>
      <c r="I26" s="10" t="s">
        <v>136</v>
      </c>
      <c r="J26" s="10" t="s">
        <v>137</v>
      </c>
      <c r="K26" s="9" t="s">
        <v>54</v>
      </c>
      <c r="L26" s="10"/>
    </row>
    <row r="27" customFormat="false" ht="111.75" hidden="false" customHeight="true" outlineLevel="0" collapsed="false">
      <c r="A27" s="9" t="n">
        <v>23</v>
      </c>
      <c r="B27" s="9" t="s">
        <v>120</v>
      </c>
      <c r="C27" s="9" t="n">
        <v>23</v>
      </c>
      <c r="D27" s="10" t="s">
        <v>5</v>
      </c>
      <c r="E27" s="10" t="s">
        <v>138</v>
      </c>
      <c r="F27" s="9" t="n">
        <v>382906</v>
      </c>
      <c r="G27" s="10" t="s">
        <v>139</v>
      </c>
      <c r="H27" s="10" t="s">
        <v>15</v>
      </c>
      <c r="I27" s="10" t="s">
        <v>140</v>
      </c>
      <c r="J27" s="10" t="s">
        <v>141</v>
      </c>
      <c r="K27" s="9" t="s">
        <v>54</v>
      </c>
      <c r="L27" s="10"/>
    </row>
    <row r="28" customFormat="false" ht="111.75" hidden="false" customHeight="true" outlineLevel="0" collapsed="false">
      <c r="A28" s="9" t="n">
        <v>24</v>
      </c>
      <c r="B28" s="9" t="s">
        <v>120</v>
      </c>
      <c r="C28" s="9" t="n">
        <v>31</v>
      </c>
      <c r="D28" s="10" t="s">
        <v>55</v>
      </c>
      <c r="E28" s="10" t="s">
        <v>142</v>
      </c>
      <c r="F28" s="9" t="n">
        <v>503655</v>
      </c>
      <c r="G28" s="10" t="s">
        <v>143</v>
      </c>
      <c r="H28" s="10" t="s">
        <v>15</v>
      </c>
      <c r="I28" s="10" t="s">
        <v>144</v>
      </c>
      <c r="J28" s="10" t="s">
        <v>145</v>
      </c>
      <c r="K28" s="9" t="s">
        <v>54</v>
      </c>
      <c r="L28" s="10"/>
    </row>
    <row r="29" customFormat="false" ht="111.75" hidden="false" customHeight="true" outlineLevel="0" collapsed="false">
      <c r="A29" s="9" t="n">
        <v>25</v>
      </c>
      <c r="B29" s="9" t="s">
        <v>146</v>
      </c>
      <c r="C29" s="9" t="n">
        <v>1</v>
      </c>
      <c r="D29" s="10" t="s">
        <v>55</v>
      </c>
      <c r="E29" s="10" t="s">
        <v>147</v>
      </c>
      <c r="F29" s="9" t="n">
        <v>505069</v>
      </c>
      <c r="G29" s="10" t="s">
        <v>148</v>
      </c>
      <c r="H29" s="10" t="s">
        <v>16</v>
      </c>
      <c r="I29" s="10" t="s">
        <v>149</v>
      </c>
      <c r="J29" s="10" t="s">
        <v>150</v>
      </c>
      <c r="K29" s="9" t="s">
        <v>54</v>
      </c>
      <c r="L29" s="10"/>
    </row>
    <row r="30" customFormat="false" ht="111.75" hidden="false" customHeight="true" outlineLevel="0" collapsed="false">
      <c r="A30" s="9" t="n">
        <v>26</v>
      </c>
      <c r="B30" s="9" t="s">
        <v>146</v>
      </c>
      <c r="C30" s="9" t="n">
        <v>8</v>
      </c>
      <c r="D30" s="10" t="s">
        <v>55</v>
      </c>
      <c r="E30" s="10" t="s">
        <v>151</v>
      </c>
      <c r="F30" s="9" t="n">
        <v>503696</v>
      </c>
      <c r="G30" s="10" t="s">
        <v>152</v>
      </c>
      <c r="H30" s="10" t="s">
        <v>16</v>
      </c>
      <c r="I30" s="10" t="s">
        <v>153</v>
      </c>
      <c r="J30" s="10" t="s">
        <v>154</v>
      </c>
      <c r="K30" s="9" t="s">
        <v>54</v>
      </c>
      <c r="L30" s="10"/>
    </row>
    <row r="31" customFormat="false" ht="111.75" hidden="false" customHeight="true" outlineLevel="0" collapsed="false">
      <c r="A31" s="9" t="n">
        <v>27</v>
      </c>
      <c r="B31" s="9" t="s">
        <v>146</v>
      </c>
      <c r="C31" s="9" t="n">
        <v>10</v>
      </c>
      <c r="D31" s="10" t="s">
        <v>70</v>
      </c>
      <c r="E31" s="10" t="s">
        <v>155</v>
      </c>
      <c r="F31" s="9" t="n">
        <v>503623</v>
      </c>
      <c r="G31" s="10" t="s">
        <v>156</v>
      </c>
      <c r="H31" s="10" t="s">
        <v>18</v>
      </c>
      <c r="I31" s="10" t="s">
        <v>157</v>
      </c>
      <c r="J31" s="10" t="s">
        <v>158</v>
      </c>
      <c r="K31" s="9" t="s">
        <v>54</v>
      </c>
      <c r="L31" s="10"/>
    </row>
    <row r="32" customFormat="false" ht="150" hidden="false" customHeight="true" outlineLevel="0" collapsed="false">
      <c r="A32" s="9" t="n">
        <v>28</v>
      </c>
      <c r="B32" s="9" t="s">
        <v>146</v>
      </c>
      <c r="C32" s="9" t="s">
        <v>60</v>
      </c>
      <c r="D32" s="10" t="s">
        <v>61</v>
      </c>
      <c r="E32" s="10" t="s">
        <v>60</v>
      </c>
      <c r="F32" s="9" t="s">
        <v>60</v>
      </c>
      <c r="G32" s="10" t="s">
        <v>159</v>
      </c>
      <c r="H32" s="10" t="s">
        <v>16</v>
      </c>
      <c r="I32" s="10" t="s">
        <v>160</v>
      </c>
      <c r="J32" s="10" t="s">
        <v>161</v>
      </c>
      <c r="K32" s="9" t="s">
        <v>54</v>
      </c>
      <c r="L32" s="10"/>
    </row>
    <row r="33" customFormat="false" ht="150" hidden="false" customHeight="true" outlineLevel="0" collapsed="false">
      <c r="A33" s="9" t="n">
        <v>29</v>
      </c>
      <c r="B33" s="9" t="s">
        <v>162</v>
      </c>
      <c r="C33" s="9" t="s">
        <v>60</v>
      </c>
      <c r="D33" s="10" t="s">
        <v>61</v>
      </c>
      <c r="E33" s="10" t="s">
        <v>60</v>
      </c>
      <c r="F33" s="9" t="s">
        <v>60</v>
      </c>
      <c r="G33" s="10" t="s">
        <v>163</v>
      </c>
      <c r="H33" s="10" t="s">
        <v>17</v>
      </c>
      <c r="I33" s="10" t="s">
        <v>164</v>
      </c>
      <c r="J33" s="10" t="s">
        <v>165</v>
      </c>
      <c r="K33" s="9" t="s">
        <v>54</v>
      </c>
      <c r="L33" s="10"/>
    </row>
    <row r="34" customFormat="false" ht="150" hidden="false" customHeight="true" outlineLevel="0" collapsed="false">
      <c r="A34" s="9" t="n">
        <v>30</v>
      </c>
      <c r="B34" s="9" t="s">
        <v>162</v>
      </c>
      <c r="C34" s="9" t="s">
        <v>60</v>
      </c>
      <c r="D34" s="10" t="s">
        <v>61</v>
      </c>
      <c r="E34" s="10" t="s">
        <v>60</v>
      </c>
      <c r="F34" s="9" t="s">
        <v>60</v>
      </c>
      <c r="G34" s="10" t="s">
        <v>166</v>
      </c>
      <c r="H34" s="10" t="s">
        <v>17</v>
      </c>
      <c r="I34" s="10" t="s">
        <v>167</v>
      </c>
      <c r="J34" s="10" t="s">
        <v>168</v>
      </c>
      <c r="K34" s="9" t="s">
        <v>54</v>
      </c>
      <c r="L34" s="10"/>
    </row>
    <row r="35" customFormat="false" ht="111.75" hidden="false" customHeight="true" outlineLevel="0" collapsed="false">
      <c r="A35" s="9" t="n">
        <v>31</v>
      </c>
      <c r="B35" s="9" t="s">
        <v>169</v>
      </c>
      <c r="C35" s="9" t="n">
        <v>1</v>
      </c>
      <c r="D35" s="10" t="s">
        <v>55</v>
      </c>
      <c r="E35" s="10" t="s">
        <v>170</v>
      </c>
      <c r="F35" s="9" t="n">
        <v>415274</v>
      </c>
      <c r="G35" s="10" t="s">
        <v>171</v>
      </c>
      <c r="H35" s="10" t="s">
        <v>19</v>
      </c>
      <c r="I35" s="10" t="s">
        <v>172</v>
      </c>
      <c r="J35" s="10" t="s">
        <v>173</v>
      </c>
      <c r="K35" s="9" t="s">
        <v>54</v>
      </c>
      <c r="L35" s="10"/>
    </row>
    <row r="36" customFormat="false" ht="111.75" hidden="false" customHeight="true" outlineLevel="0" collapsed="false">
      <c r="A36" s="9" t="n">
        <v>32</v>
      </c>
      <c r="B36" s="9" t="s">
        <v>169</v>
      </c>
      <c r="C36" s="9" t="n">
        <v>12</v>
      </c>
      <c r="D36" s="10" t="s">
        <v>55</v>
      </c>
      <c r="E36" s="10" t="s">
        <v>174</v>
      </c>
      <c r="F36" s="9" t="n">
        <v>416497</v>
      </c>
      <c r="G36" s="10" t="s">
        <v>175</v>
      </c>
      <c r="H36" s="10" t="s">
        <v>19</v>
      </c>
      <c r="I36" s="10" t="s">
        <v>176</v>
      </c>
      <c r="J36" s="10" t="s">
        <v>177</v>
      </c>
      <c r="K36" s="9" t="s">
        <v>54</v>
      </c>
      <c r="L36" s="10"/>
    </row>
    <row r="37" customFormat="false" ht="150" hidden="false" customHeight="true" outlineLevel="0" collapsed="false">
      <c r="A37" s="9" t="n">
        <v>33</v>
      </c>
      <c r="B37" s="9" t="s">
        <v>169</v>
      </c>
      <c r="C37" s="9" t="s">
        <v>60</v>
      </c>
      <c r="D37" s="10" t="s">
        <v>61</v>
      </c>
      <c r="E37" s="10" t="s">
        <v>60</v>
      </c>
      <c r="F37" s="9" t="s">
        <v>60</v>
      </c>
      <c r="G37" s="10" t="s">
        <v>178</v>
      </c>
      <c r="H37" s="10" t="s">
        <v>19</v>
      </c>
      <c r="I37" s="10" t="s">
        <v>179</v>
      </c>
      <c r="J37" s="10" t="s">
        <v>180</v>
      </c>
      <c r="K37" s="9" t="s">
        <v>54</v>
      </c>
      <c r="L37" s="10"/>
    </row>
    <row r="38" customFormat="false" ht="150" hidden="false" customHeight="true" outlineLevel="0" collapsed="false">
      <c r="A38" s="9" t="n">
        <v>34</v>
      </c>
      <c r="B38" s="9" t="s">
        <v>169</v>
      </c>
      <c r="C38" s="9" t="s">
        <v>60</v>
      </c>
      <c r="D38" s="10" t="s">
        <v>61</v>
      </c>
      <c r="E38" s="10" t="s">
        <v>60</v>
      </c>
      <c r="F38" s="9" t="s">
        <v>60</v>
      </c>
      <c r="G38" s="10" t="s">
        <v>181</v>
      </c>
      <c r="H38" s="10" t="s">
        <v>19</v>
      </c>
      <c r="I38" s="10" t="s">
        <v>182</v>
      </c>
      <c r="J38" s="10" t="s">
        <v>183</v>
      </c>
      <c r="K38" s="9" t="s">
        <v>54</v>
      </c>
      <c r="L38" s="10"/>
    </row>
    <row r="39" customFormat="false" ht="150" hidden="false" customHeight="true" outlineLevel="0" collapsed="false">
      <c r="A39" s="9" t="n">
        <v>35</v>
      </c>
      <c r="B39" s="9" t="s">
        <v>169</v>
      </c>
      <c r="C39" s="9" t="s">
        <v>60</v>
      </c>
      <c r="D39" s="10" t="s">
        <v>61</v>
      </c>
      <c r="E39" s="10" t="s">
        <v>60</v>
      </c>
      <c r="F39" s="9" t="s">
        <v>60</v>
      </c>
      <c r="G39" s="10" t="s">
        <v>184</v>
      </c>
      <c r="H39" s="10" t="s">
        <v>19</v>
      </c>
      <c r="I39" s="10" t="s">
        <v>185</v>
      </c>
      <c r="J39" s="10" t="s">
        <v>186</v>
      </c>
      <c r="K39" s="9" t="s">
        <v>54</v>
      </c>
      <c r="L39" s="10"/>
    </row>
    <row r="40" customFormat="false" ht="150" hidden="false" customHeight="true" outlineLevel="0" collapsed="false">
      <c r="A40" s="9" t="n">
        <v>36</v>
      </c>
      <c r="B40" s="9" t="s">
        <v>187</v>
      </c>
      <c r="C40" s="9" t="s">
        <v>60</v>
      </c>
      <c r="D40" s="10" t="s">
        <v>61</v>
      </c>
      <c r="E40" s="10" t="s">
        <v>60</v>
      </c>
      <c r="F40" s="9" t="s">
        <v>60</v>
      </c>
      <c r="G40" s="10" t="s">
        <v>156</v>
      </c>
      <c r="H40" s="10" t="s">
        <v>18</v>
      </c>
      <c r="I40" s="10" t="s">
        <v>188</v>
      </c>
      <c r="J40" s="10" t="s">
        <v>189</v>
      </c>
      <c r="K40" s="9" t="s">
        <v>54</v>
      </c>
      <c r="L40" s="10"/>
    </row>
    <row r="41" customFormat="false" ht="150" hidden="false" customHeight="true" outlineLevel="0" collapsed="false">
      <c r="A41" s="9" t="n">
        <v>37</v>
      </c>
      <c r="B41" s="9" t="s">
        <v>187</v>
      </c>
      <c r="C41" s="9" t="s">
        <v>60</v>
      </c>
      <c r="D41" s="10" t="s">
        <v>61</v>
      </c>
      <c r="E41" s="10" t="s">
        <v>60</v>
      </c>
      <c r="F41" s="9" t="s">
        <v>60</v>
      </c>
      <c r="G41" s="10" t="s">
        <v>190</v>
      </c>
      <c r="H41" s="10" t="s">
        <v>18</v>
      </c>
      <c r="I41" s="10" t="s">
        <v>191</v>
      </c>
      <c r="J41" s="10" t="s">
        <v>192</v>
      </c>
      <c r="K41" s="9" t="s">
        <v>54</v>
      </c>
      <c r="L41" s="10"/>
    </row>
    <row r="42" customFormat="false" ht="111.75" hidden="false" customHeight="true" outlineLevel="0" collapsed="false">
      <c r="A42" s="9" t="n">
        <v>38</v>
      </c>
      <c r="B42" s="9" t="s">
        <v>193</v>
      </c>
      <c r="C42" s="9" t="n">
        <v>1</v>
      </c>
      <c r="D42" s="10" t="s">
        <v>70</v>
      </c>
      <c r="E42" s="10" t="s">
        <v>62</v>
      </c>
      <c r="F42" s="9" t="n">
        <v>414905</v>
      </c>
      <c r="G42" s="10" t="s">
        <v>62</v>
      </c>
      <c r="H42" s="10" t="s">
        <v>9</v>
      </c>
      <c r="I42" s="10" t="s">
        <v>194</v>
      </c>
      <c r="J42" s="10" t="s">
        <v>195</v>
      </c>
      <c r="K42" s="9" t="s">
        <v>54</v>
      </c>
      <c r="L42" s="10"/>
    </row>
    <row r="43" customFormat="false" ht="111.75" hidden="false" customHeight="true" outlineLevel="0" collapsed="false">
      <c r="A43" s="9" t="n">
        <v>39</v>
      </c>
      <c r="B43" s="9" t="s">
        <v>193</v>
      </c>
      <c r="C43" s="9" t="n">
        <v>3</v>
      </c>
      <c r="D43" s="10" t="s">
        <v>70</v>
      </c>
      <c r="E43" s="10" t="s">
        <v>196</v>
      </c>
      <c r="F43" s="9" t="n">
        <v>416838</v>
      </c>
      <c r="G43" s="10" t="s">
        <v>196</v>
      </c>
      <c r="H43" s="10" t="s">
        <v>123</v>
      </c>
      <c r="I43" s="10" t="s">
        <v>197</v>
      </c>
      <c r="J43" s="10" t="s">
        <v>198</v>
      </c>
      <c r="K43" s="9" t="s">
        <v>54</v>
      </c>
      <c r="L43" s="10"/>
    </row>
    <row r="44" customFormat="false" ht="150" hidden="false" customHeight="true" outlineLevel="0" collapsed="false">
      <c r="A44" s="9" t="n">
        <v>40</v>
      </c>
      <c r="B44" s="9" t="s">
        <v>193</v>
      </c>
      <c r="C44" s="9" t="s">
        <v>60</v>
      </c>
      <c r="D44" s="10" t="s">
        <v>61</v>
      </c>
      <c r="E44" s="10" t="s">
        <v>60</v>
      </c>
      <c r="F44" s="9" t="s">
        <v>60</v>
      </c>
      <c r="G44" s="10" t="s">
        <v>71</v>
      </c>
      <c r="H44" s="10" t="s">
        <v>20</v>
      </c>
      <c r="I44" s="10" t="s">
        <v>199</v>
      </c>
      <c r="J44" s="10" t="s">
        <v>200</v>
      </c>
      <c r="K44" s="9" t="s">
        <v>54</v>
      </c>
      <c r="L44" s="10"/>
    </row>
    <row r="45" customFormat="false" ht="150" hidden="false" customHeight="true" outlineLevel="0" collapsed="false">
      <c r="A45" s="9" t="n">
        <v>41</v>
      </c>
      <c r="B45" s="9" t="s">
        <v>193</v>
      </c>
      <c r="C45" s="9" t="s">
        <v>60</v>
      </c>
      <c r="D45" s="10" t="s">
        <v>61</v>
      </c>
      <c r="E45" s="10" t="s">
        <v>60</v>
      </c>
      <c r="F45" s="9" t="s">
        <v>60</v>
      </c>
      <c r="G45" s="10" t="s">
        <v>201</v>
      </c>
      <c r="H45" s="10" t="s">
        <v>20</v>
      </c>
      <c r="I45" s="10" t="s">
        <v>202</v>
      </c>
      <c r="J45" s="10" t="s">
        <v>203</v>
      </c>
      <c r="K45" s="9" t="s">
        <v>54</v>
      </c>
      <c r="L45" s="10"/>
    </row>
    <row r="46" customFormat="false" ht="150" hidden="false" customHeight="true" outlineLevel="0" collapsed="false">
      <c r="A46" s="9" t="n">
        <v>42</v>
      </c>
      <c r="B46" s="9" t="s">
        <v>193</v>
      </c>
      <c r="C46" s="9" t="s">
        <v>60</v>
      </c>
      <c r="D46" s="10" t="s">
        <v>61</v>
      </c>
      <c r="E46" s="10" t="s">
        <v>60</v>
      </c>
      <c r="F46" s="9" t="s">
        <v>60</v>
      </c>
      <c r="G46" s="10" t="s">
        <v>204</v>
      </c>
      <c r="H46" s="10" t="s">
        <v>20</v>
      </c>
      <c r="I46" s="10" t="s">
        <v>205</v>
      </c>
      <c r="J46" s="10" t="s">
        <v>206</v>
      </c>
      <c r="K46" s="9" t="s">
        <v>54</v>
      </c>
      <c r="L46" s="10"/>
    </row>
    <row r="47" customFormat="false" ht="111.75" hidden="false" customHeight="true" outlineLevel="0" collapsed="false">
      <c r="A47" s="9" t="n">
        <v>43</v>
      </c>
      <c r="B47" s="9" t="s">
        <v>207</v>
      </c>
      <c r="C47" s="9" t="n">
        <v>11</v>
      </c>
      <c r="D47" s="10" t="s">
        <v>55</v>
      </c>
      <c r="E47" s="10" t="s">
        <v>208</v>
      </c>
      <c r="F47" s="9" t="n">
        <v>382687</v>
      </c>
      <c r="G47" s="10" t="s">
        <v>209</v>
      </c>
      <c r="H47" s="10" t="s">
        <v>21</v>
      </c>
      <c r="I47" s="10" t="s">
        <v>210</v>
      </c>
      <c r="J47" s="10" t="s">
        <v>211</v>
      </c>
      <c r="K47" s="9" t="s">
        <v>54</v>
      </c>
      <c r="L47" s="10"/>
    </row>
    <row r="48" customFormat="false" ht="111.75" hidden="false" customHeight="true" outlineLevel="0" collapsed="false">
      <c r="A48" s="9" t="n">
        <v>44</v>
      </c>
      <c r="B48" s="9" t="s">
        <v>207</v>
      </c>
      <c r="C48" s="9" t="n">
        <v>15</v>
      </c>
      <c r="D48" s="10" t="s">
        <v>5</v>
      </c>
      <c r="E48" s="10" t="s">
        <v>212</v>
      </c>
      <c r="F48" s="9" t="n">
        <v>382855</v>
      </c>
      <c r="G48" s="10" t="s">
        <v>213</v>
      </c>
      <c r="H48" s="10" t="s">
        <v>21</v>
      </c>
      <c r="I48" s="10" t="s">
        <v>214</v>
      </c>
      <c r="J48" s="10" t="s">
        <v>215</v>
      </c>
      <c r="K48" s="9" t="s">
        <v>54</v>
      </c>
      <c r="L48" s="10"/>
    </row>
    <row r="49" customFormat="false" ht="150" hidden="false" customHeight="true" outlineLevel="0" collapsed="false">
      <c r="A49" s="9" t="n">
        <v>45</v>
      </c>
      <c r="B49" s="9" t="s">
        <v>207</v>
      </c>
      <c r="C49" s="9" t="s">
        <v>60</v>
      </c>
      <c r="D49" s="10" t="s">
        <v>61</v>
      </c>
      <c r="E49" s="10" t="s">
        <v>60</v>
      </c>
      <c r="F49" s="9" t="s">
        <v>60</v>
      </c>
      <c r="G49" s="10" t="s">
        <v>131</v>
      </c>
      <c r="H49" s="10" t="s">
        <v>21</v>
      </c>
      <c r="I49" s="10" t="s">
        <v>216</v>
      </c>
      <c r="J49" s="10" t="s">
        <v>217</v>
      </c>
      <c r="K49" s="9" t="s">
        <v>54</v>
      </c>
      <c r="L49" s="10"/>
    </row>
    <row r="50" customFormat="false" ht="111.75" hidden="false" customHeight="true" outlineLevel="0" collapsed="false">
      <c r="A50" s="9" t="n">
        <v>46</v>
      </c>
      <c r="B50" s="9" t="s">
        <v>207</v>
      </c>
      <c r="C50" s="9" t="n">
        <v>1</v>
      </c>
      <c r="D50" s="10" t="s">
        <v>70</v>
      </c>
      <c r="E50" s="10" t="s">
        <v>201</v>
      </c>
      <c r="F50" s="9" t="n">
        <v>382852</v>
      </c>
      <c r="G50" s="10" t="s">
        <v>201</v>
      </c>
      <c r="H50" s="10" t="s">
        <v>20</v>
      </c>
      <c r="I50" s="10" t="s">
        <v>218</v>
      </c>
      <c r="J50" s="10" t="s">
        <v>219</v>
      </c>
      <c r="K50" s="9" t="s">
        <v>54</v>
      </c>
      <c r="L50" s="10"/>
    </row>
    <row r="51" customFormat="false" ht="111.75" hidden="false" customHeight="true" outlineLevel="0" collapsed="false">
      <c r="A51" s="9" t="n">
        <v>47</v>
      </c>
      <c r="B51" s="9" t="s">
        <v>207</v>
      </c>
      <c r="C51" s="9" t="n">
        <v>2</v>
      </c>
      <c r="D51" s="10" t="s">
        <v>70</v>
      </c>
      <c r="E51" s="10" t="s">
        <v>204</v>
      </c>
      <c r="F51" s="9" t="n">
        <v>382437</v>
      </c>
      <c r="G51" s="10" t="s">
        <v>204</v>
      </c>
      <c r="H51" s="10" t="s">
        <v>20</v>
      </c>
      <c r="I51" s="10" t="s">
        <v>218</v>
      </c>
      <c r="J51" s="10" t="s">
        <v>220</v>
      </c>
      <c r="K51" s="9" t="s">
        <v>54</v>
      </c>
      <c r="L51" s="10"/>
    </row>
    <row r="52" customFormat="false" ht="111.75" hidden="false" customHeight="true" outlineLevel="0" collapsed="false">
      <c r="A52" s="9" t="n">
        <v>48</v>
      </c>
      <c r="B52" s="9" t="s">
        <v>207</v>
      </c>
      <c r="C52" s="9" t="n">
        <v>3</v>
      </c>
      <c r="D52" s="10" t="s">
        <v>70</v>
      </c>
      <c r="E52" s="10" t="s">
        <v>221</v>
      </c>
      <c r="F52" s="9" t="n">
        <v>503610</v>
      </c>
      <c r="G52" s="10" t="s">
        <v>190</v>
      </c>
      <c r="H52" s="10" t="s">
        <v>18</v>
      </c>
      <c r="I52" s="10" t="s">
        <v>222</v>
      </c>
      <c r="J52" s="10" t="s">
        <v>223</v>
      </c>
      <c r="K52" s="9" t="s">
        <v>54</v>
      </c>
      <c r="L52" s="10"/>
    </row>
    <row r="53" customFormat="false" ht="111.75" hidden="false" customHeight="true" outlineLevel="0" collapsed="false">
      <c r="A53" s="9" t="n">
        <v>49</v>
      </c>
      <c r="B53" s="9" t="s">
        <v>207</v>
      </c>
      <c r="C53" s="9" t="n">
        <v>4</v>
      </c>
      <c r="D53" s="10" t="s">
        <v>70</v>
      </c>
      <c r="E53" s="10" t="s">
        <v>159</v>
      </c>
      <c r="F53" s="9" t="n">
        <v>382697</v>
      </c>
      <c r="G53" s="10" t="s">
        <v>159</v>
      </c>
      <c r="H53" s="10" t="s">
        <v>16</v>
      </c>
      <c r="I53" s="10" t="s">
        <v>224</v>
      </c>
      <c r="J53" s="10" t="s">
        <v>225</v>
      </c>
      <c r="K53" s="9" t="s">
        <v>54</v>
      </c>
      <c r="L53" s="10"/>
    </row>
    <row r="54" customFormat="false" ht="111.75" hidden="false" customHeight="true" outlineLevel="0" collapsed="false">
      <c r="A54" s="9" t="n">
        <v>50</v>
      </c>
      <c r="B54" s="9" t="s">
        <v>207</v>
      </c>
      <c r="C54" s="9" t="n">
        <v>6</v>
      </c>
      <c r="D54" s="10" t="s">
        <v>70</v>
      </c>
      <c r="E54" s="10" t="s">
        <v>226</v>
      </c>
      <c r="F54" s="9" t="n">
        <v>505091</v>
      </c>
      <c r="G54" s="10" t="s">
        <v>166</v>
      </c>
      <c r="H54" s="10" t="s">
        <v>17</v>
      </c>
      <c r="I54" s="10" t="s">
        <v>227</v>
      </c>
      <c r="J54" s="10" t="s">
        <v>228</v>
      </c>
      <c r="K54" s="9" t="s">
        <v>54</v>
      </c>
      <c r="L54" s="10"/>
    </row>
    <row r="55" customFormat="false" ht="111.75" hidden="false" customHeight="true" outlineLevel="0" collapsed="false">
      <c r="A55" s="9" t="n">
        <v>51</v>
      </c>
      <c r="B55" s="9" t="s">
        <v>207</v>
      </c>
      <c r="C55" s="9" t="n">
        <v>7</v>
      </c>
      <c r="D55" s="10" t="s">
        <v>70</v>
      </c>
      <c r="E55" s="10" t="s">
        <v>229</v>
      </c>
      <c r="F55" s="9" t="n">
        <v>503606</v>
      </c>
      <c r="G55" s="10" t="s">
        <v>79</v>
      </c>
      <c r="H55" s="10" t="s">
        <v>11</v>
      </c>
      <c r="I55" s="10" t="s">
        <v>230</v>
      </c>
      <c r="J55" s="10" t="s">
        <v>231</v>
      </c>
      <c r="K55" s="9" t="s">
        <v>54</v>
      </c>
      <c r="L55" s="10"/>
    </row>
    <row r="56" customFormat="false" ht="111.75" hidden="false" customHeight="true" outlineLevel="0" collapsed="false">
      <c r="A56" s="9" t="n">
        <v>52</v>
      </c>
      <c r="B56" s="9" t="s">
        <v>207</v>
      </c>
      <c r="C56" s="9" t="n">
        <v>8</v>
      </c>
      <c r="D56" s="10" t="s">
        <v>70</v>
      </c>
      <c r="E56" s="10" t="s">
        <v>232</v>
      </c>
      <c r="F56" s="9" t="n">
        <v>382712</v>
      </c>
      <c r="G56" s="10" t="s">
        <v>232</v>
      </c>
      <c r="H56" s="10" t="s">
        <v>233</v>
      </c>
      <c r="I56" s="10" t="s">
        <v>234</v>
      </c>
      <c r="J56" s="10" t="s">
        <v>235</v>
      </c>
      <c r="K56" s="9" t="s">
        <v>54</v>
      </c>
      <c r="L56" s="10"/>
    </row>
    <row r="57" customFormat="false" ht="111.75" hidden="false" customHeight="true" outlineLevel="0" collapsed="false">
      <c r="A57" s="9" t="n">
        <v>53</v>
      </c>
      <c r="B57" s="9" t="s">
        <v>207</v>
      </c>
      <c r="C57" s="9" t="n">
        <v>13</v>
      </c>
      <c r="D57" s="10" t="s">
        <v>70</v>
      </c>
      <c r="E57" s="10" t="s">
        <v>236</v>
      </c>
      <c r="F57" s="9" t="n">
        <v>503730</v>
      </c>
      <c r="G57" s="10" t="s">
        <v>237</v>
      </c>
      <c r="H57" s="10" t="s">
        <v>17</v>
      </c>
      <c r="I57" s="10" t="s">
        <v>238</v>
      </c>
      <c r="J57" s="10" t="s">
        <v>239</v>
      </c>
      <c r="K57" s="9" t="s">
        <v>54</v>
      </c>
      <c r="L57" s="10"/>
    </row>
    <row r="58" customFormat="false" ht="111.75" hidden="false" customHeight="true" outlineLevel="0" collapsed="false">
      <c r="A58" s="9" t="n">
        <v>54</v>
      </c>
      <c r="B58" s="9" t="s">
        <v>207</v>
      </c>
      <c r="C58" s="9" t="n">
        <v>14</v>
      </c>
      <c r="D58" s="10" t="s">
        <v>70</v>
      </c>
      <c r="E58" s="10" t="s">
        <v>117</v>
      </c>
      <c r="F58" s="9" t="n">
        <v>382748</v>
      </c>
      <c r="G58" s="10" t="s">
        <v>117</v>
      </c>
      <c r="H58" s="10" t="s">
        <v>13</v>
      </c>
      <c r="I58" s="10" t="s">
        <v>240</v>
      </c>
      <c r="J58" s="10" t="s">
        <v>241</v>
      </c>
      <c r="K58" s="9" t="s">
        <v>54</v>
      </c>
      <c r="L58" s="10"/>
    </row>
    <row r="59" customFormat="false" ht="111.75" hidden="false" customHeight="true" outlineLevel="0" collapsed="false">
      <c r="A59" s="9" t="n">
        <v>55</v>
      </c>
      <c r="B59" s="9" t="s">
        <v>207</v>
      </c>
      <c r="C59" s="9" t="n">
        <v>17</v>
      </c>
      <c r="D59" s="10" t="s">
        <v>70</v>
      </c>
      <c r="E59" s="10" t="s">
        <v>110</v>
      </c>
      <c r="F59" s="9" t="n">
        <v>415322</v>
      </c>
      <c r="G59" s="10" t="s">
        <v>110</v>
      </c>
      <c r="H59" s="10" t="s">
        <v>12</v>
      </c>
      <c r="I59" s="10" t="s">
        <v>242</v>
      </c>
      <c r="J59" s="10" t="s">
        <v>243</v>
      </c>
      <c r="K59" s="9" t="s">
        <v>54</v>
      </c>
      <c r="L59" s="10"/>
    </row>
    <row r="60" customFormat="false" ht="111.75" hidden="false" customHeight="true" outlineLevel="0" collapsed="false">
      <c r="A60" s="9" t="n">
        <v>56</v>
      </c>
      <c r="B60" s="9" t="s">
        <v>207</v>
      </c>
      <c r="C60" s="9" t="n">
        <v>19</v>
      </c>
      <c r="D60" s="10" t="s">
        <v>70</v>
      </c>
      <c r="E60" s="10" t="s">
        <v>184</v>
      </c>
      <c r="F60" s="9" t="n">
        <v>415383</v>
      </c>
      <c r="G60" s="10" t="s">
        <v>184</v>
      </c>
      <c r="H60" s="10" t="s">
        <v>19</v>
      </c>
      <c r="I60" s="10" t="s">
        <v>244</v>
      </c>
      <c r="J60" s="10" t="s">
        <v>245</v>
      </c>
      <c r="K60" s="9" t="s">
        <v>54</v>
      </c>
      <c r="L60" s="10"/>
    </row>
    <row r="61" customFormat="false" ht="111.75" hidden="false" customHeight="true" outlineLevel="0" collapsed="false">
      <c r="A61" s="9" t="n">
        <v>57</v>
      </c>
      <c r="B61" s="9" t="s">
        <v>207</v>
      </c>
      <c r="C61" s="9" t="n">
        <v>23</v>
      </c>
      <c r="D61" s="10" t="s">
        <v>70</v>
      </c>
      <c r="E61" s="10" t="s">
        <v>246</v>
      </c>
      <c r="F61" s="9" t="n">
        <v>415326</v>
      </c>
      <c r="G61" s="10" t="s">
        <v>246</v>
      </c>
      <c r="H61" s="10" t="s">
        <v>233</v>
      </c>
      <c r="I61" s="10" t="s">
        <v>234</v>
      </c>
      <c r="J61" s="10" t="s">
        <v>247</v>
      </c>
      <c r="K61" s="9" t="s">
        <v>54</v>
      </c>
      <c r="L61" s="10"/>
    </row>
    <row r="62" customFormat="false" ht="111.75" hidden="false" customHeight="true" outlineLevel="0" collapsed="false">
      <c r="A62" s="9" t="n">
        <v>58</v>
      </c>
      <c r="B62" s="9" t="s">
        <v>207</v>
      </c>
      <c r="C62" s="9" t="n">
        <v>24</v>
      </c>
      <c r="D62" s="10" t="s">
        <v>70</v>
      </c>
      <c r="E62" s="10" t="s">
        <v>181</v>
      </c>
      <c r="F62" s="9" t="n">
        <v>415284</v>
      </c>
      <c r="G62" s="10" t="s">
        <v>181</v>
      </c>
      <c r="H62" s="10" t="s">
        <v>19</v>
      </c>
      <c r="I62" s="10" t="s">
        <v>244</v>
      </c>
      <c r="J62" s="10" t="s">
        <v>248</v>
      </c>
      <c r="K62" s="9" t="s">
        <v>54</v>
      </c>
      <c r="L62" s="10"/>
    </row>
    <row r="63" customFormat="false" ht="111.75" hidden="false" customHeight="true" outlineLevel="0" collapsed="false">
      <c r="A63" s="9" t="n">
        <v>59</v>
      </c>
      <c r="B63" s="9" t="s">
        <v>207</v>
      </c>
      <c r="C63" s="9" t="n">
        <v>26</v>
      </c>
      <c r="D63" s="10" t="s">
        <v>70</v>
      </c>
      <c r="E63" s="10" t="s">
        <v>249</v>
      </c>
      <c r="F63" s="9" t="n">
        <v>413781</v>
      </c>
      <c r="G63" s="10" t="s">
        <v>249</v>
      </c>
      <c r="H63" s="10" t="s">
        <v>233</v>
      </c>
      <c r="I63" s="10" t="s">
        <v>234</v>
      </c>
      <c r="J63" s="10" t="s">
        <v>250</v>
      </c>
      <c r="K63" s="9" t="s">
        <v>54</v>
      </c>
      <c r="L63" s="10"/>
    </row>
    <row r="64" customFormat="false" ht="111.75" hidden="false" customHeight="true" outlineLevel="0" collapsed="false">
      <c r="A64" s="9" t="n">
        <v>60</v>
      </c>
      <c r="B64" s="9" t="s">
        <v>207</v>
      </c>
      <c r="C64" s="9" t="n">
        <v>27</v>
      </c>
      <c r="D64" s="10" t="s">
        <v>70</v>
      </c>
      <c r="E64" s="10" t="s">
        <v>178</v>
      </c>
      <c r="F64" s="9" t="n">
        <v>414354</v>
      </c>
      <c r="G64" s="10" t="s">
        <v>178</v>
      </c>
      <c r="H64" s="10" t="s">
        <v>19</v>
      </c>
      <c r="I64" s="10" t="s">
        <v>244</v>
      </c>
      <c r="J64" s="10" t="s">
        <v>251</v>
      </c>
      <c r="K64" s="9" t="s">
        <v>54</v>
      </c>
      <c r="L64" s="10"/>
    </row>
    <row r="66" customFormat="false" ht="15" hidden="false" customHeight="false" outlineLevel="0" collapsed="false">
      <c r="A66" s="11" t="s">
        <v>252</v>
      </c>
    </row>
    <row r="67" customFormat="false" ht="31.5" hidden="false" customHeight="true" outlineLevel="0" collapsed="false">
      <c r="A67" s="2" t="s">
        <v>253</v>
      </c>
      <c r="B67" s="2" t="s">
        <v>1</v>
      </c>
      <c r="C67" s="2" t="s">
        <v>38</v>
      </c>
      <c r="D67" s="2" t="s">
        <v>39</v>
      </c>
      <c r="E67" s="2" t="s">
        <v>254</v>
      </c>
      <c r="F67" s="2" t="s">
        <v>41</v>
      </c>
      <c r="G67" s="2" t="s">
        <v>255</v>
      </c>
      <c r="H67" s="2" t="s">
        <v>43</v>
      </c>
      <c r="I67" s="2" t="s">
        <v>256</v>
      </c>
      <c r="J67" s="2" t="s">
        <v>257</v>
      </c>
      <c r="K67" s="2" t="s">
        <v>258</v>
      </c>
      <c r="L67" s="2" t="s">
        <v>259</v>
      </c>
    </row>
    <row r="68" customFormat="false" ht="61.5" hidden="false" customHeight="true" outlineLevel="0" collapsed="false">
      <c r="A68" s="9" t="n">
        <v>1</v>
      </c>
      <c r="B68" s="9" t="s">
        <v>260</v>
      </c>
      <c r="C68" s="9" t="n">
        <v>22</v>
      </c>
      <c r="D68" s="10" t="s">
        <v>261</v>
      </c>
      <c r="E68" s="10" t="str">
        <f aca="false">Conferência!C153</f>
        <v>09S29QAR110876J</v>
      </c>
      <c r="F68" s="9" t="n">
        <f aca="false">Conferência!F153</f>
        <v>382780</v>
      </c>
      <c r="G68" s="10" t="str">
        <f aca="false">Conferência!G153</f>
        <v>Samsung Chromebook 4 cinza</v>
      </c>
      <c r="H68" s="10" t="str">
        <f aca="false">Conferência!H153</f>
        <v>Carrinho 06 ( VERDE)</v>
      </c>
      <c r="I68" s="10" t="s">
        <v>262</v>
      </c>
      <c r="J68" s="10" t="s">
        <v>263</v>
      </c>
      <c r="K68" s="9" t="s">
        <v>54</v>
      </c>
      <c r="L68" s="10"/>
    </row>
    <row r="69" customFormat="false" ht="61.5" hidden="false" customHeight="true" outlineLevel="0" collapsed="false">
      <c r="A69" s="9" t="n">
        <v>2</v>
      </c>
      <c r="B69" s="9" t="s">
        <v>193</v>
      </c>
      <c r="C69" s="9" t="n">
        <v>2</v>
      </c>
      <c r="D69" s="10" t="s">
        <v>261</v>
      </c>
      <c r="E69" s="10" t="str">
        <f aca="false">Conferência!C297</f>
        <v>NXH0HAL001830D1F789501</v>
      </c>
      <c r="F69" s="9" t="n">
        <f aca="false">Conferência!F297</f>
        <v>414461</v>
      </c>
      <c r="G69" s="10" t="str">
        <f aca="false">Conferência!G297</f>
        <v>Acer Chromebook 11 C731 (N16Q13) preto</v>
      </c>
      <c r="H69" s="10" t="str">
        <f aca="false">Conferência!H297</f>
        <v>CARRINHO RESERVA</v>
      </c>
      <c r="I69" s="10" t="s">
        <v>264</v>
      </c>
      <c r="J69" s="10" t="s">
        <v>265</v>
      </c>
      <c r="K69" s="9" t="s">
        <v>54</v>
      </c>
      <c r="L69" s="10"/>
    </row>
    <row r="70" customFormat="false" ht="61.5" hidden="false" customHeight="true" outlineLevel="0" collapsed="false">
      <c r="A70" s="9" t="n">
        <v>3</v>
      </c>
      <c r="B70" s="9" t="s">
        <v>193</v>
      </c>
      <c r="C70" s="9" t="n">
        <v>3</v>
      </c>
      <c r="D70" s="10" t="s">
        <v>261</v>
      </c>
      <c r="E70" s="10" t="str">
        <f aca="false">Conferência!C298</f>
        <v>NXH0HAL001839ED8399501</v>
      </c>
      <c r="F70" s="9" t="n">
        <f aca="false">Conferência!F298</f>
        <v>416838</v>
      </c>
      <c r="G70" s="10" t="str">
        <f aca="false">Conferência!G298</f>
        <v>Acer Chromebook 11 C731 (N16Q13) preto</v>
      </c>
      <c r="H70" s="10" t="str">
        <f aca="false">Conferência!H298</f>
        <v>Não Alocado</v>
      </c>
      <c r="I70" s="10" t="s">
        <v>266</v>
      </c>
      <c r="J70" s="10" t="s">
        <v>265</v>
      </c>
      <c r="K70" s="9" t="s">
        <v>54</v>
      </c>
      <c r="L70" s="10"/>
    </row>
    <row r="71" customFormat="false" ht="61.5" hidden="false" customHeight="true" outlineLevel="0" collapsed="false">
      <c r="A71" s="9" t="n">
        <v>4</v>
      </c>
      <c r="B71" s="9" t="s">
        <v>193</v>
      </c>
      <c r="C71" s="9" t="n">
        <v>4</v>
      </c>
      <c r="D71" s="10" t="s">
        <v>261</v>
      </c>
      <c r="E71" s="10" t="str">
        <f aca="false">Conferência!C299</f>
        <v>NXH0HAL001838E6B539501</v>
      </c>
      <c r="F71" s="9" t="n">
        <f aca="false">Conferência!F299</f>
        <v>415297</v>
      </c>
      <c r="G71" s="10" t="str">
        <f aca="false">Conferência!G299</f>
        <v>Acer Chromebook 11 C731 (N16Q13) preto</v>
      </c>
      <c r="H71" s="10" t="str">
        <f aca="false">Conferência!H299</f>
        <v>CARRINHO RESERVA</v>
      </c>
      <c r="I71" s="10" t="s">
        <v>267</v>
      </c>
      <c r="J71" s="10" t="s">
        <v>265</v>
      </c>
      <c r="K71" s="9" t="s">
        <v>54</v>
      </c>
      <c r="L71" s="10"/>
    </row>
    <row r="72" customFormat="false" ht="61.5" hidden="false" customHeight="true" outlineLevel="0" collapsed="false">
      <c r="A72" s="9" t="n">
        <v>5</v>
      </c>
      <c r="B72" s="9" t="s">
        <v>193</v>
      </c>
      <c r="C72" s="9" t="n">
        <v>5</v>
      </c>
      <c r="D72" s="10" t="s">
        <v>261</v>
      </c>
      <c r="E72" s="10" t="str">
        <f aca="false">Conferência!C300</f>
        <v>NXH0HAL001838E735B9501</v>
      </c>
      <c r="F72" s="9" t="n">
        <f aca="false">Conferência!F300</f>
        <v>415300</v>
      </c>
      <c r="G72" s="10" t="str">
        <f aca="false">Conferência!G300</f>
        <v>Acer Chromebook 11 C731 (N16Q13) preto</v>
      </c>
      <c r="H72" s="10" t="str">
        <f aca="false">Conferência!H300</f>
        <v>CARRINHO RESERVA</v>
      </c>
      <c r="I72" s="10" t="s">
        <v>268</v>
      </c>
      <c r="J72" s="10" t="s">
        <v>265</v>
      </c>
      <c r="K72" s="9" t="s">
        <v>54</v>
      </c>
      <c r="L72" s="10"/>
    </row>
    <row r="73" customFormat="false" ht="61.5" hidden="false" customHeight="true" outlineLevel="0" collapsed="false">
      <c r="A73" s="9" t="n">
        <v>6</v>
      </c>
      <c r="B73" s="9" t="s">
        <v>193</v>
      </c>
      <c r="C73" s="9" t="n">
        <v>6</v>
      </c>
      <c r="D73" s="10" t="s">
        <v>261</v>
      </c>
      <c r="E73" s="10" t="str">
        <f aca="false">Conferência!C301</f>
        <v>NXH0HAL001832D5F129501</v>
      </c>
      <c r="F73" s="9" t="n">
        <f aca="false">Conferência!F301</f>
        <v>415313</v>
      </c>
      <c r="G73" s="10" t="str">
        <f aca="false">Conferência!G301</f>
        <v>Acer Chromebook 11 C731 (N16Q13) preto</v>
      </c>
      <c r="H73" s="10" t="str">
        <f aca="false">Conferência!H301</f>
        <v>CARRINHO RESERVA</v>
      </c>
      <c r="I73" s="10" t="s">
        <v>269</v>
      </c>
      <c r="J73" s="10" t="s">
        <v>265</v>
      </c>
      <c r="K73" s="9" t="s">
        <v>54</v>
      </c>
      <c r="L73" s="10"/>
    </row>
    <row r="74" customFormat="false" ht="61.5" hidden="false" customHeight="true" outlineLevel="0" collapsed="false">
      <c r="A74" s="9" t="n">
        <v>7</v>
      </c>
      <c r="B74" s="9" t="s">
        <v>193</v>
      </c>
      <c r="C74" s="9" t="n">
        <v>7</v>
      </c>
      <c r="D74" s="10" t="s">
        <v>261</v>
      </c>
      <c r="E74" s="10" t="str">
        <f aca="false">Conferência!C302</f>
        <v>NXH0HAL001839ECCC29501</v>
      </c>
      <c r="F74" s="9" t="n">
        <f aca="false">Conferência!F302</f>
        <v>417030</v>
      </c>
      <c r="G74" s="10" t="str">
        <f aca="false">Conferência!G302</f>
        <v>Acer Chromebook 11 C731 (N16Q13) preto</v>
      </c>
      <c r="H74" s="10" t="str">
        <f aca="false">Conferência!H302</f>
        <v>CARRINHO RESERVA</v>
      </c>
      <c r="I74" s="10" t="s">
        <v>270</v>
      </c>
      <c r="J74" s="10" t="s">
        <v>265</v>
      </c>
      <c r="K74" s="9" t="s">
        <v>54</v>
      </c>
      <c r="L74" s="10"/>
    </row>
    <row r="75" customFormat="false" ht="61.5" hidden="false" customHeight="true" outlineLevel="0" collapsed="false">
      <c r="A75" s="9" t="n">
        <v>8</v>
      </c>
      <c r="B75" s="9" t="s">
        <v>193</v>
      </c>
      <c r="C75" s="9" t="n">
        <v>8</v>
      </c>
      <c r="D75" s="10" t="s">
        <v>261</v>
      </c>
      <c r="E75" s="10" t="str">
        <f aca="false">Conferência!C303</f>
        <v>NXH0HAL001837E5E619501</v>
      </c>
      <c r="F75" s="9" t="n">
        <f aca="false">Conferência!F303</f>
        <v>415266</v>
      </c>
      <c r="G75" s="10" t="str">
        <f aca="false">Conferência!G303</f>
        <v>Acer Chromebook 11 C731 (N16Q13) preto</v>
      </c>
      <c r="H75" s="10" t="str">
        <f aca="false">Conferência!H303</f>
        <v>CARRINHO RESERVA</v>
      </c>
      <c r="I75" s="10" t="s">
        <v>271</v>
      </c>
      <c r="J75" s="10" t="s">
        <v>265</v>
      </c>
      <c r="K75" s="9" t="s">
        <v>54</v>
      </c>
      <c r="L75" s="10"/>
    </row>
    <row r="76" customFormat="false" ht="61.5" hidden="false" customHeight="true" outlineLevel="0" collapsed="false">
      <c r="A76" s="9" t="n">
        <v>9</v>
      </c>
      <c r="B76" s="9" t="s">
        <v>193</v>
      </c>
      <c r="C76" s="9" t="n">
        <v>9</v>
      </c>
      <c r="D76" s="10" t="s">
        <v>261</v>
      </c>
      <c r="E76" s="10" t="str">
        <f aca="false">Conferência!C304</f>
        <v>NXH0HAL0018481E8B39501</v>
      </c>
      <c r="F76" s="9" t="n">
        <f aca="false">Conferência!F304</f>
        <v>413885</v>
      </c>
      <c r="G76" s="10" t="str">
        <f aca="false">Conferência!G304</f>
        <v>Acer Chromebook 11 C731 (N16Q13) preto</v>
      </c>
      <c r="H76" s="10" t="str">
        <f aca="false">Conferência!H304</f>
        <v>CARRINHO RESERVA</v>
      </c>
      <c r="I76" s="10" t="s">
        <v>272</v>
      </c>
      <c r="J76" s="10" t="s">
        <v>265</v>
      </c>
      <c r="K76" s="9" t="s">
        <v>54</v>
      </c>
      <c r="L76" s="10"/>
    </row>
    <row r="77" customFormat="false" ht="61.5" hidden="false" customHeight="true" outlineLevel="0" collapsed="false">
      <c r="A77" s="9" t="n">
        <v>10</v>
      </c>
      <c r="B77" s="9" t="s">
        <v>193</v>
      </c>
      <c r="C77" s="9" t="n">
        <v>10</v>
      </c>
      <c r="D77" s="10" t="s">
        <v>261</v>
      </c>
      <c r="E77" s="10" t="str">
        <f aca="false">Conferência!C305</f>
        <v>09S29QBR719250D</v>
      </c>
      <c r="F77" s="9" t="n">
        <f aca="false">Conferência!F305</f>
        <v>505192</v>
      </c>
      <c r="G77" s="10" t="str">
        <f aca="false">Conferência!G305</f>
        <v>Samsung Chromebook 4 cinza</v>
      </c>
      <c r="H77" s="10" t="str">
        <f aca="false">Conferência!H305</f>
        <v>CARRINHO RESERVA</v>
      </c>
      <c r="I77" s="10" t="s">
        <v>273</v>
      </c>
      <c r="J77" s="10" t="s">
        <v>265</v>
      </c>
      <c r="K77" s="9" t="s">
        <v>54</v>
      </c>
      <c r="L77" s="10"/>
    </row>
    <row r="78" customFormat="false" ht="61.5" hidden="false" customHeight="true" outlineLevel="0" collapsed="false">
      <c r="A78" s="9" t="n">
        <v>11</v>
      </c>
      <c r="B78" s="9" t="s">
        <v>193</v>
      </c>
      <c r="C78" s="9" t="n">
        <v>12</v>
      </c>
      <c r="D78" s="10" t="s">
        <v>261</v>
      </c>
      <c r="E78" s="10" t="str">
        <f aca="false">Conferência!C306</f>
        <v>09S29QBR704277D</v>
      </c>
      <c r="F78" s="9" t="n">
        <f aca="false">Conferência!F306</f>
        <v>505070</v>
      </c>
      <c r="G78" s="10" t="str">
        <f aca="false">Conferência!G306</f>
        <v>Samsung Chromebook 4 cinza</v>
      </c>
      <c r="H78" s="10" t="str">
        <f aca="false">Conferência!H306</f>
        <v>CARRINHO RESERVA</v>
      </c>
      <c r="I78" s="10" t="s">
        <v>274</v>
      </c>
      <c r="J78" s="10" t="s">
        <v>265</v>
      </c>
      <c r="K78" s="9" t="s">
        <v>54</v>
      </c>
      <c r="L78" s="10"/>
    </row>
    <row r="79" customFormat="false" ht="61.5" hidden="false" customHeight="true" outlineLevel="0" collapsed="false">
      <c r="A79" s="9" t="n">
        <v>12</v>
      </c>
      <c r="B79" s="9" t="s">
        <v>193</v>
      </c>
      <c r="C79" s="9" t="n">
        <v>13</v>
      </c>
      <c r="D79" s="10" t="s">
        <v>275</v>
      </c>
      <c r="E79" s="10" t="str">
        <f aca="false">Conferência!C307</f>
        <v>09S29QBR702126R</v>
      </c>
      <c r="F79" s="9" t="n">
        <f aca="false">Conferência!F307</f>
        <v>505139</v>
      </c>
      <c r="G79" s="10" t="str">
        <f aca="false">Conferência!G307</f>
        <v>Samsung Chromebook 4 cinza</v>
      </c>
      <c r="H79" s="10" t="str">
        <f aca="false">Conferência!H307</f>
        <v>CARRINHO RESERVA</v>
      </c>
      <c r="I79" s="10" t="s">
        <v>276</v>
      </c>
      <c r="J79" s="10" t="s">
        <v>277</v>
      </c>
      <c r="K79" s="9" t="s">
        <v>54</v>
      </c>
      <c r="L79" s="10"/>
    </row>
    <row r="80" customFormat="false" ht="61.5" hidden="false" customHeight="true" outlineLevel="0" collapsed="false">
      <c r="A80" s="9" t="n">
        <v>13</v>
      </c>
      <c r="B80" s="9" t="s">
        <v>65</v>
      </c>
      <c r="C80" s="9" t="n">
        <v>8</v>
      </c>
      <c r="D80" s="10" t="s">
        <v>261</v>
      </c>
      <c r="E80" s="10" t="str">
        <f aca="false">Conferência!C64</f>
        <v>NXG54AL002749005CE7600</v>
      </c>
      <c r="F80" s="9" t="n">
        <f aca="false">Conferência!F64</f>
        <v>408738</v>
      </c>
      <c r="G80" s="10" t="str">
        <f aca="false">Conferência!G64</f>
        <v>Acer Chromebook R11 CB5-132T branco</v>
      </c>
      <c r="H80" s="10" t="str">
        <f aca="false">Conferência!H64</f>
        <v>Carrinho 03  ( VERMELHO - CHROME R11 - ED. IN</v>
      </c>
      <c r="I80" s="10" t="s">
        <v>278</v>
      </c>
      <c r="J80" s="10" t="s">
        <v>279</v>
      </c>
      <c r="K80" s="9" t="s">
        <v>54</v>
      </c>
      <c r="L80" s="10"/>
    </row>
    <row r="81" customFormat="false" ht="61.5" hidden="false" customHeight="true" outlineLevel="0" collapsed="false">
      <c r="A81" s="9" t="n">
        <v>14</v>
      </c>
      <c r="B81" s="9" t="s">
        <v>65</v>
      </c>
      <c r="C81" s="9" t="n">
        <v>12</v>
      </c>
      <c r="D81" s="10" t="s">
        <v>280</v>
      </c>
      <c r="E81" s="10" t="str">
        <f aca="false">Conferência!C68</f>
        <v>NXG54AL002748179CB7600</v>
      </c>
      <c r="F81" s="9" t="str">
        <f aca="false">Conferência!F68</f>
        <v>Não localizado</v>
      </c>
      <c r="G81" s="10" t="str">
        <f aca="false">Conferência!G68</f>
        <v>Acer Chromebook R11 CB5-132T branco</v>
      </c>
      <c r="H81" s="10" t="str">
        <f aca="false">Conferência!H68</f>
        <v>Carrinho 03  ( VERMELHO - CHROME R11 - ED. IN</v>
      </c>
      <c r="I81" s="10" t="s">
        <v>281</v>
      </c>
      <c r="J81" s="10" t="s">
        <v>282</v>
      </c>
      <c r="K81" s="9" t="s">
        <v>54</v>
      </c>
      <c r="L81" s="10"/>
    </row>
    <row r="82" customFormat="false" ht="61.5" hidden="false" customHeight="true" outlineLevel="0" collapsed="false">
      <c r="A82" s="9" t="n">
        <v>15</v>
      </c>
      <c r="B82" s="9" t="s">
        <v>65</v>
      </c>
      <c r="C82" s="9" t="n">
        <v>15</v>
      </c>
      <c r="D82" s="10" t="s">
        <v>261</v>
      </c>
      <c r="E82" s="10" t="str">
        <f aca="false">Conferência!C71</f>
        <v>NXG54AL0027430A1067600</v>
      </c>
      <c r="F82" s="9" t="n">
        <f aca="false">Conferência!F71</f>
        <v>411263</v>
      </c>
      <c r="G82" s="10" t="str">
        <f aca="false">Conferência!G71</f>
        <v>Acer Chromebook R11 CB5-132T branco</v>
      </c>
      <c r="H82" s="10" t="str">
        <f aca="false">Conferência!H71</f>
        <v>Carrinho 03  ( VERMELHO - CHROME R11 - ED. IN</v>
      </c>
      <c r="I82" s="10" t="s">
        <v>283</v>
      </c>
      <c r="J82" s="10" t="s">
        <v>279</v>
      </c>
      <c r="K82" s="9" t="s">
        <v>54</v>
      </c>
      <c r="L82" s="10"/>
    </row>
    <row r="83" customFormat="false" ht="61.5" hidden="false" customHeight="true" outlineLevel="0" collapsed="false">
      <c r="A83" s="9" t="n">
        <v>16</v>
      </c>
      <c r="B83" s="9" t="s">
        <v>65</v>
      </c>
      <c r="C83" s="9" t="n">
        <v>17</v>
      </c>
      <c r="D83" s="10" t="s">
        <v>261</v>
      </c>
      <c r="E83" s="10" t="str">
        <f aca="false">Conferência!C73</f>
        <v>NXG54AL002749005F57600</v>
      </c>
      <c r="F83" s="9" t="n">
        <f aca="false">Conferência!F73</f>
        <v>409996</v>
      </c>
      <c r="G83" s="10" t="str">
        <f aca="false">Conferência!G73</f>
        <v>Acer Chromebook R11 CB5-132T branco</v>
      </c>
      <c r="H83" s="10" t="str">
        <f aca="false">Conferência!H73</f>
        <v>Carrinho 03  ( VERMELHO - CHROME R11 - ED. IN</v>
      </c>
      <c r="I83" s="10" t="s">
        <v>284</v>
      </c>
      <c r="J83" s="10" t="s">
        <v>279</v>
      </c>
      <c r="K83" s="9" t="s">
        <v>54</v>
      </c>
      <c r="L83" s="10"/>
    </row>
    <row r="84" customFormat="false" ht="61.5" hidden="false" customHeight="true" outlineLevel="0" collapsed="false">
      <c r="A84" s="9" t="n">
        <v>17</v>
      </c>
      <c r="B84" s="9" t="s">
        <v>65</v>
      </c>
      <c r="C84" s="9" t="n">
        <v>25</v>
      </c>
      <c r="D84" s="10" t="s">
        <v>285</v>
      </c>
      <c r="E84" s="10" t="str">
        <f aca="false">Conferência!C81</f>
        <v>NXG54AL002743065F17600</v>
      </c>
      <c r="F84" s="9" t="str">
        <f aca="false">Conferência!F81</f>
        <v>Não localizado</v>
      </c>
      <c r="G84" s="10" t="str">
        <f aca="false">Conferência!G81</f>
        <v>Acer Chromebook R11 CB5-132T branco</v>
      </c>
      <c r="H84" s="10" t="str">
        <f aca="false">Conferência!H81</f>
        <v>Carrinho 03  ( VERMELHO - CHROME R11 - ED. IN</v>
      </c>
      <c r="I84" s="10" t="s">
        <v>286</v>
      </c>
      <c r="J84" s="10" t="s">
        <v>287</v>
      </c>
      <c r="K84" s="9" t="s">
        <v>54</v>
      </c>
      <c r="L84" s="10"/>
    </row>
    <row r="85" customFormat="false" ht="61.5" hidden="false" customHeight="true" outlineLevel="0" collapsed="false">
      <c r="A85" s="9" t="n">
        <v>18</v>
      </c>
      <c r="B85" s="9" t="s">
        <v>82</v>
      </c>
      <c r="C85" s="9" t="n">
        <v>1</v>
      </c>
      <c r="D85" s="10" t="s">
        <v>261</v>
      </c>
      <c r="E85" s="10" t="str">
        <f aca="false">Conferência!C83</f>
        <v>NXH0HAL001838E762A9501</v>
      </c>
      <c r="F85" s="9" t="n">
        <f aca="false">Conferência!F83</f>
        <v>415379</v>
      </c>
      <c r="G85" s="10" t="str">
        <f aca="false">Conferência!G83</f>
        <v>Acer Chromebook 11 C731 (N16Q13) preto</v>
      </c>
      <c r="H85" s="10" t="str">
        <f aca="false">Conferência!H83</f>
        <v>Carrinho 04 ( LARANJA )</v>
      </c>
      <c r="I85" s="10" t="s">
        <v>288</v>
      </c>
      <c r="J85" s="10" t="s">
        <v>289</v>
      </c>
      <c r="K85" s="9" t="s">
        <v>54</v>
      </c>
      <c r="L85" s="10"/>
    </row>
    <row r="86" customFormat="false" ht="61.5" hidden="false" customHeight="true" outlineLevel="0" collapsed="false">
      <c r="A86" s="9" t="n">
        <v>19</v>
      </c>
      <c r="B86" s="9" t="s">
        <v>82</v>
      </c>
      <c r="C86" s="9" t="n">
        <v>16</v>
      </c>
      <c r="D86" s="10" t="s">
        <v>261</v>
      </c>
      <c r="E86" s="10" t="str">
        <f aca="false">Conferência!C98</f>
        <v>NXH0HAL001838E6A8B9501</v>
      </c>
      <c r="F86" s="9" t="n">
        <f aca="false">Conferência!F98</f>
        <v>415277</v>
      </c>
      <c r="G86" s="10" t="str">
        <f aca="false">Conferência!G98</f>
        <v>Acer Chromebook 11 C731 (N16Q13) preto</v>
      </c>
      <c r="H86" s="10" t="str">
        <f aca="false">Conferência!H98</f>
        <v>Carrinho 04 ( LARANJA )</v>
      </c>
      <c r="I86" s="10" t="s">
        <v>288</v>
      </c>
      <c r="J86" s="10" t="s">
        <v>289</v>
      </c>
      <c r="K86" s="9" t="s">
        <v>54</v>
      </c>
      <c r="L86" s="10"/>
    </row>
    <row r="87" customFormat="false" ht="61.5" hidden="false" customHeight="true" outlineLevel="0" collapsed="false">
      <c r="A87" s="9" t="n">
        <v>20</v>
      </c>
      <c r="B87" s="9" t="s">
        <v>82</v>
      </c>
      <c r="C87" s="9" t="n">
        <v>19</v>
      </c>
      <c r="D87" s="10" t="s">
        <v>261</v>
      </c>
      <c r="E87" s="10" t="str">
        <f aca="false">Conferência!C101</f>
        <v>NXH0HAL001837E5F719501</v>
      </c>
      <c r="F87" s="9" t="n">
        <f aca="false">Conferência!F101</f>
        <v>415327</v>
      </c>
      <c r="G87" s="10" t="str">
        <f aca="false">Conferência!G101</f>
        <v>Acer Chromebook 11 C731 (N16Q13) preto</v>
      </c>
      <c r="H87" s="10" t="str">
        <f aca="false">Conferência!H101</f>
        <v>Carrinho 04 ( LARANJA )</v>
      </c>
      <c r="I87" s="10" t="s">
        <v>290</v>
      </c>
      <c r="J87" s="10" t="s">
        <v>289</v>
      </c>
      <c r="K87" s="9" t="s">
        <v>54</v>
      </c>
      <c r="L87" s="10"/>
    </row>
    <row r="88" customFormat="false" ht="61.5" hidden="false" customHeight="true" outlineLevel="0" collapsed="false">
      <c r="A88" s="9" t="n">
        <v>21</v>
      </c>
      <c r="B88" s="9" t="s">
        <v>82</v>
      </c>
      <c r="C88" s="9" t="n">
        <v>20</v>
      </c>
      <c r="D88" s="10" t="s">
        <v>261</v>
      </c>
      <c r="E88" s="10" t="str">
        <f aca="false">Conferência!C102</f>
        <v>NXH0HAL00183BE693B9501</v>
      </c>
      <c r="F88" s="9" t="n">
        <f aca="false">Conferência!F102</f>
        <v>415264</v>
      </c>
      <c r="G88" s="10" t="str">
        <f aca="false">Conferência!G102</f>
        <v>Acer Chromebook 11 C731 (N16Q13) preto</v>
      </c>
      <c r="H88" s="10" t="str">
        <f aca="false">Conferência!H102</f>
        <v>Não encontrado</v>
      </c>
      <c r="I88" s="10" t="s">
        <v>291</v>
      </c>
      <c r="J88" s="10" t="s">
        <v>292</v>
      </c>
      <c r="K88" s="9" t="s">
        <v>54</v>
      </c>
      <c r="L88" s="10"/>
    </row>
    <row r="89" customFormat="false" ht="61.5" hidden="false" customHeight="true" outlineLevel="0" collapsed="false">
      <c r="A89" s="9" t="n">
        <v>22</v>
      </c>
      <c r="B89" s="9" t="s">
        <v>82</v>
      </c>
      <c r="C89" s="9" t="n">
        <v>22</v>
      </c>
      <c r="D89" s="10" t="s">
        <v>261</v>
      </c>
      <c r="E89" s="10" t="str">
        <f aca="false">Conferência!C104</f>
        <v>NXH0HAL001832D5F4A9501</v>
      </c>
      <c r="F89" s="9" t="n">
        <f aca="false">Conferência!F104</f>
        <v>415311</v>
      </c>
      <c r="G89" s="10" t="str">
        <f aca="false">Conferência!G104</f>
        <v>Acer Chromebook 11 C731 (N16Q13) preto</v>
      </c>
      <c r="H89" s="10" t="str">
        <f aca="false">Conferência!H104</f>
        <v>Carrinho 04 ( LARANJA )</v>
      </c>
      <c r="I89" s="10" t="s">
        <v>293</v>
      </c>
      <c r="J89" s="10" t="s">
        <v>289</v>
      </c>
      <c r="K89" s="9" t="s">
        <v>54</v>
      </c>
      <c r="L89" s="10"/>
    </row>
    <row r="90" customFormat="false" ht="61.5" hidden="false" customHeight="true" outlineLevel="0" collapsed="false">
      <c r="A90" s="9" t="n">
        <v>23</v>
      </c>
      <c r="B90" s="9" t="s">
        <v>294</v>
      </c>
      <c r="C90" s="9" t="n">
        <v>2</v>
      </c>
      <c r="D90" s="10" t="s">
        <v>261</v>
      </c>
      <c r="E90" s="10" t="str">
        <f aca="false">Conferência!C33</f>
        <v>NXH0HAL001832D5D789501</v>
      </c>
      <c r="F90" s="9" t="n">
        <f aca="false">Conferência!F33</f>
        <v>415295</v>
      </c>
      <c r="G90" s="10" t="str">
        <f aca="false">Conferência!G33</f>
        <v>Acer Chromebook 11 C731 (N16Q13) preto</v>
      </c>
      <c r="H90" s="10" t="str">
        <f aca="false">Conferência!H33</f>
        <v>Carrinho 02 ( AMARELO)</v>
      </c>
      <c r="I90" s="10" t="s">
        <v>295</v>
      </c>
      <c r="J90" s="10" t="s">
        <v>289</v>
      </c>
      <c r="K90" s="9" t="s">
        <v>54</v>
      </c>
      <c r="L90" s="10"/>
    </row>
    <row r="91" customFormat="false" ht="61.5" hidden="false" customHeight="true" outlineLevel="0" collapsed="false">
      <c r="A91" s="9" t="n">
        <v>24</v>
      </c>
      <c r="B91" s="9" t="s">
        <v>113</v>
      </c>
      <c r="C91" s="9" t="n">
        <v>9</v>
      </c>
      <c r="D91" s="10" t="s">
        <v>261</v>
      </c>
      <c r="E91" s="10" t="str">
        <f aca="false">Conferência!C115</f>
        <v>09S29QAR109533V</v>
      </c>
      <c r="F91" s="9" t="n">
        <f aca="false">Conferência!F115</f>
        <v>382737</v>
      </c>
      <c r="G91" s="10" t="str">
        <f aca="false">Conferência!G115</f>
        <v>Samsung Chromebook 4 cinza</v>
      </c>
      <c r="H91" s="10" t="str">
        <f aca="false">Conferência!H115</f>
        <v>Carrinho 05 ( ROXO)</v>
      </c>
      <c r="I91" s="10" t="s">
        <v>296</v>
      </c>
      <c r="J91" s="10" t="s">
        <v>279</v>
      </c>
      <c r="K91" s="9" t="s">
        <v>54</v>
      </c>
      <c r="L91" s="10"/>
    </row>
    <row r="92" customFormat="false" ht="61.5" hidden="false" customHeight="true" outlineLevel="0" collapsed="false">
      <c r="A92" s="9" t="n">
        <v>25</v>
      </c>
      <c r="B92" s="9" t="s">
        <v>162</v>
      </c>
      <c r="C92" s="9" t="n">
        <v>20</v>
      </c>
      <c r="D92" s="10" t="s">
        <v>261</v>
      </c>
      <c r="E92" s="10" t="str">
        <f aca="false">Conferência!C242</f>
        <v>09S29QBR712147K</v>
      </c>
      <c r="F92" s="9" t="n">
        <f aca="false">Conferência!F242</f>
        <v>503736</v>
      </c>
      <c r="G92" s="10" t="str">
        <f aca="false">Conferência!G242</f>
        <v>Samsung Chromebook 4 cinza</v>
      </c>
      <c r="H92" s="10" t="str">
        <f aca="false">Conferência!H242</f>
        <v>Carrinho 10 - MARROM</v>
      </c>
      <c r="I92" s="10" t="s">
        <v>297</v>
      </c>
      <c r="J92" s="10" t="s">
        <v>279</v>
      </c>
      <c r="K92" s="9" t="s">
        <v>54</v>
      </c>
      <c r="L92" s="10"/>
    </row>
    <row r="93" customFormat="false" ht="61.5" hidden="false" customHeight="true" outlineLevel="0" collapsed="false">
      <c r="A93" s="9" t="n">
        <v>26</v>
      </c>
      <c r="B93" s="9" t="s">
        <v>207</v>
      </c>
      <c r="C93" s="9" t="n">
        <v>2</v>
      </c>
      <c r="D93" s="10" t="s">
        <v>261</v>
      </c>
      <c r="E93" s="10" t="str">
        <f aca="false">Conferência!C309</f>
        <v>09S29QBNC00260N</v>
      </c>
      <c r="F93" s="9" t="n">
        <f aca="false">Conferência!F309</f>
        <v>382437</v>
      </c>
      <c r="G93" s="10" t="str">
        <f aca="false">Conferência!G309</f>
        <v>Samsung Chromebook 4 cinza</v>
      </c>
      <c r="H93" s="10" t="str">
        <f aca="false">Conferência!H309</f>
        <v>CARRINHO RESERVA</v>
      </c>
      <c r="I93" s="10" t="s">
        <v>298</v>
      </c>
      <c r="J93" s="10" t="s">
        <v>299</v>
      </c>
      <c r="K93" s="9" t="s">
        <v>54</v>
      </c>
      <c r="L93" s="10"/>
    </row>
    <row r="94" customFormat="false" ht="61.5" hidden="false" customHeight="true" outlineLevel="0" collapsed="false">
      <c r="A94" s="9" t="n">
        <v>27</v>
      </c>
      <c r="B94" s="9" t="s">
        <v>207</v>
      </c>
      <c r="C94" s="9" t="n">
        <v>3</v>
      </c>
      <c r="D94" s="10" t="s">
        <v>261</v>
      </c>
      <c r="E94" s="10" t="str">
        <f aca="false">Conferência!C310</f>
        <v>09S29QBR712220W</v>
      </c>
      <c r="F94" s="9" t="n">
        <f aca="false">Conferência!F310</f>
        <v>503610</v>
      </c>
      <c r="G94" s="10" t="str">
        <f aca="false">Conferência!G310</f>
        <v>Samsung Chromebook 4 cinza</v>
      </c>
      <c r="H94" s="10" t="str">
        <f aca="false">Conferência!H310</f>
        <v>Carrinho 11 - PRETO</v>
      </c>
      <c r="I94" s="10" t="s">
        <v>300</v>
      </c>
      <c r="J94" s="10" t="s">
        <v>299</v>
      </c>
      <c r="K94" s="9" t="s">
        <v>54</v>
      </c>
      <c r="L94" s="10"/>
    </row>
    <row r="95" customFormat="false" ht="61.5" hidden="false" customHeight="true" outlineLevel="0" collapsed="false">
      <c r="A95" s="9" t="n">
        <v>28</v>
      </c>
      <c r="B95" s="9" t="s">
        <v>207</v>
      </c>
      <c r="C95" s="9" t="n">
        <v>4</v>
      </c>
      <c r="D95" s="10" t="s">
        <v>261</v>
      </c>
      <c r="E95" s="10" t="str">
        <f aca="false">Conferência!C311</f>
        <v>09S29QAR110966J</v>
      </c>
      <c r="F95" s="9" t="n">
        <f aca="false">Conferência!F311</f>
        <v>382697</v>
      </c>
      <c r="G95" s="10" t="str">
        <f aca="false">Conferência!G311</f>
        <v>Samsung Chromebook 4 cinza</v>
      </c>
      <c r="H95" s="10" t="str">
        <f aca="false">Conferência!H311</f>
        <v>Carrinho 08 - CINZA</v>
      </c>
      <c r="I95" s="10" t="s">
        <v>301</v>
      </c>
      <c r="J95" s="10" t="s">
        <v>299</v>
      </c>
      <c r="K95" s="9" t="s">
        <v>54</v>
      </c>
      <c r="L95" s="10"/>
    </row>
    <row r="96" customFormat="false" ht="61.5" hidden="false" customHeight="true" outlineLevel="0" collapsed="false">
      <c r="A96" s="9" t="n">
        <v>29</v>
      </c>
      <c r="B96" s="9" t="s">
        <v>207</v>
      </c>
      <c r="C96" s="9" t="n">
        <v>5</v>
      </c>
      <c r="D96" s="10" t="s">
        <v>285</v>
      </c>
      <c r="E96" s="10" t="str">
        <f aca="false">Conferência!C312</f>
        <v>09S29QAR109516Z</v>
      </c>
      <c r="F96" s="9" t="str">
        <f aca="false">Conferência!F312</f>
        <v>Não localizado</v>
      </c>
      <c r="G96" s="10" t="str">
        <f aca="false">Conferência!G312</f>
        <v>Samsung Chromebook 4 cinza</v>
      </c>
      <c r="H96" s="10" t="str">
        <f aca="false">Conferência!H312</f>
        <v>Carrinho 13 - CIANO</v>
      </c>
      <c r="I96" s="10" t="s">
        <v>302</v>
      </c>
      <c r="J96" s="10" t="s">
        <v>303</v>
      </c>
      <c r="K96" s="9" t="s">
        <v>54</v>
      </c>
      <c r="L96" s="10"/>
    </row>
    <row r="97" customFormat="false" ht="61.5" hidden="false" customHeight="true" outlineLevel="0" collapsed="false">
      <c r="A97" s="9" t="n">
        <v>30</v>
      </c>
      <c r="B97" s="9" t="s">
        <v>207</v>
      </c>
      <c r="C97" s="9" t="n">
        <v>7</v>
      </c>
      <c r="D97" s="10" t="s">
        <v>261</v>
      </c>
      <c r="E97" s="10" t="str">
        <f aca="false">Conferência!C314</f>
        <v>09S29QBR711970X</v>
      </c>
      <c r="F97" s="9" t="n">
        <f aca="false">Conferência!F314</f>
        <v>503606</v>
      </c>
      <c r="G97" s="10" t="str">
        <f aca="false">Conferência!G314</f>
        <v>Samsung Chromebook 4 cinza</v>
      </c>
      <c r="H97" s="10" t="str">
        <f aca="false">Conferência!H314</f>
        <v>Carrinho 03  ( VERMELHO - CHROME R11 - ED. IN</v>
      </c>
      <c r="I97" s="10" t="s">
        <v>304</v>
      </c>
      <c r="J97" s="10" t="s">
        <v>299</v>
      </c>
      <c r="K97" s="9" t="s">
        <v>54</v>
      </c>
      <c r="L97" s="10"/>
    </row>
    <row r="98" customFormat="false" ht="61.5" hidden="false" customHeight="true" outlineLevel="0" collapsed="false">
      <c r="A98" s="9" t="n">
        <v>31</v>
      </c>
      <c r="B98" s="9" t="s">
        <v>207</v>
      </c>
      <c r="C98" s="9" t="n">
        <v>8</v>
      </c>
      <c r="D98" s="10" t="s">
        <v>261</v>
      </c>
      <c r="E98" s="10" t="str">
        <f aca="false">Conferência!C315</f>
        <v>09S29QAR110716H</v>
      </c>
      <c r="F98" s="9" t="n">
        <f aca="false">Conferência!F315</f>
        <v>382712</v>
      </c>
      <c r="G98" s="10" t="str">
        <f aca="false">Conferência!G315</f>
        <v>Samsung Chromebook 4 cinza</v>
      </c>
      <c r="H98" s="10" t="str">
        <f aca="false">Conferência!H315</f>
        <v>MANUTENÇÃO - 2025 -SALA COFRE </v>
      </c>
      <c r="I98" s="10" t="s">
        <v>305</v>
      </c>
      <c r="J98" s="10" t="s">
        <v>299</v>
      </c>
      <c r="K98" s="9" t="s">
        <v>54</v>
      </c>
      <c r="L98" s="10"/>
    </row>
    <row r="99" customFormat="false" ht="61.5" hidden="false" customHeight="true" outlineLevel="0" collapsed="false">
      <c r="A99" s="9" t="n">
        <v>32</v>
      </c>
      <c r="B99" s="9" t="s">
        <v>207</v>
      </c>
      <c r="C99" s="9" t="n">
        <v>9</v>
      </c>
      <c r="D99" s="10" t="s">
        <v>261</v>
      </c>
      <c r="E99" s="10" t="str">
        <f aca="false">Conferência!C316</f>
        <v>09S29QBR707184F</v>
      </c>
      <c r="F99" s="9" t="n">
        <f aca="false">Conferência!F316</f>
        <v>503628</v>
      </c>
      <c r="G99" s="10" t="str">
        <f aca="false">Conferência!G316</f>
        <v>Samsung Chromebook 4 cinza</v>
      </c>
      <c r="H99" s="10" t="str">
        <f aca="false">Conferência!H316</f>
        <v>Carrinho 13 - CIANO</v>
      </c>
      <c r="I99" s="10" t="s">
        <v>305</v>
      </c>
      <c r="J99" s="10" t="s">
        <v>299</v>
      </c>
      <c r="K99" s="9" t="s">
        <v>54</v>
      </c>
      <c r="L99" s="10"/>
    </row>
    <row r="100" customFormat="false" ht="61.5" hidden="false" customHeight="true" outlineLevel="0" collapsed="false">
      <c r="A100" s="9" t="n">
        <v>33</v>
      </c>
      <c r="B100" s="9" t="s">
        <v>207</v>
      </c>
      <c r="C100" s="9" t="n">
        <v>10</v>
      </c>
      <c r="D100" s="10" t="s">
        <v>261</v>
      </c>
      <c r="E100" s="10" t="str">
        <f aca="false">Conferência!C317</f>
        <v>09S29QBR701873A</v>
      </c>
      <c r="F100" s="9" t="n">
        <f aca="false">Conferência!F317</f>
        <v>505191</v>
      </c>
      <c r="G100" s="10" t="str">
        <f aca="false">Conferência!G317</f>
        <v>Samsung Chromebook 4 cinza</v>
      </c>
      <c r="H100" s="10" t="str">
        <f aca="false">Conferência!H317</f>
        <v>Carrinho 13 - CIANO</v>
      </c>
      <c r="I100" s="10" t="s">
        <v>305</v>
      </c>
      <c r="J100" s="10" t="s">
        <v>299</v>
      </c>
      <c r="K100" s="9" t="s">
        <v>54</v>
      </c>
      <c r="L100" s="10"/>
    </row>
    <row r="101" customFormat="false" ht="61.5" hidden="false" customHeight="true" outlineLevel="0" collapsed="false">
      <c r="A101" s="9" t="n">
        <v>34</v>
      </c>
      <c r="B101" s="9" t="s">
        <v>207</v>
      </c>
      <c r="C101" s="9" t="n">
        <v>11</v>
      </c>
      <c r="D101" s="10" t="s">
        <v>261</v>
      </c>
      <c r="E101" s="10" t="str">
        <f aca="false">Conferência!C318</f>
        <v>09S29QAR150922B</v>
      </c>
      <c r="F101" s="9" t="n">
        <f aca="false">Conferência!F318</f>
        <v>382687</v>
      </c>
      <c r="G101" s="10" t="str">
        <f aca="false">Conferência!G318</f>
        <v>Samsung Chromebook 4 cinza</v>
      </c>
      <c r="H101" s="10" t="str">
        <f aca="false">Conferência!H318</f>
        <v>Não encontrado</v>
      </c>
      <c r="I101" s="10" t="s">
        <v>305</v>
      </c>
      <c r="J101" s="10" t="s">
        <v>299</v>
      </c>
      <c r="K101" s="9" t="s">
        <v>54</v>
      </c>
      <c r="L101" s="10"/>
    </row>
    <row r="102" customFormat="false" ht="61.5" hidden="false" customHeight="true" outlineLevel="0" collapsed="false">
      <c r="A102" s="9" t="n">
        <v>35</v>
      </c>
      <c r="B102" s="9" t="s">
        <v>207</v>
      </c>
      <c r="C102" s="9" t="n">
        <v>12</v>
      </c>
      <c r="D102" s="10" t="s">
        <v>261</v>
      </c>
      <c r="E102" s="10" t="str">
        <f aca="false">Conferência!C319</f>
        <v>09S29QBR702067X</v>
      </c>
      <c r="F102" s="9" t="n">
        <f aca="false">Conferência!F319</f>
        <v>505298</v>
      </c>
      <c r="G102" s="10" t="str">
        <f aca="false">Conferência!G319</f>
        <v>Samsung Chromebook 4 cinza</v>
      </c>
      <c r="H102" s="10" t="str">
        <f aca="false">Conferência!H319</f>
        <v>Carrinho 13 - CIANO</v>
      </c>
      <c r="I102" s="10" t="s">
        <v>305</v>
      </c>
      <c r="J102" s="10" t="s">
        <v>299</v>
      </c>
      <c r="K102" s="9" t="s">
        <v>54</v>
      </c>
      <c r="L102" s="10"/>
    </row>
    <row r="103" customFormat="false" ht="61.5" hidden="false" customHeight="true" outlineLevel="0" collapsed="false">
      <c r="A103" s="9" t="n">
        <v>36</v>
      </c>
      <c r="B103" s="9" t="s">
        <v>207</v>
      </c>
      <c r="C103" s="9" t="n">
        <v>13</v>
      </c>
      <c r="D103" s="10" t="s">
        <v>261</v>
      </c>
      <c r="E103" s="10" t="str">
        <f aca="false">Conferência!C320</f>
        <v>09S29QBR707480M</v>
      </c>
      <c r="F103" s="9" t="n">
        <f aca="false">Conferência!F320</f>
        <v>503730</v>
      </c>
      <c r="G103" s="10" t="str">
        <f aca="false">Conferência!G320</f>
        <v>Samsung Chromebook 4 cinza</v>
      </c>
      <c r="H103" s="10" t="str">
        <f aca="false">Conferência!H320</f>
        <v>Carrinho 10 - MARROM</v>
      </c>
      <c r="I103" s="10" t="s">
        <v>306</v>
      </c>
      <c r="J103" s="10" t="s">
        <v>299</v>
      </c>
      <c r="K103" s="9" t="s">
        <v>54</v>
      </c>
      <c r="L103" s="10"/>
    </row>
    <row r="104" customFormat="false" ht="61.5" hidden="false" customHeight="true" outlineLevel="0" collapsed="false">
      <c r="A104" s="9" t="n">
        <v>37</v>
      </c>
      <c r="B104" s="9" t="s">
        <v>207</v>
      </c>
      <c r="C104" s="9" t="n">
        <v>14</v>
      </c>
      <c r="D104" s="10" t="s">
        <v>261</v>
      </c>
      <c r="E104" s="10" t="str">
        <f aca="false">Conferência!C321</f>
        <v>09S29QAR109513J</v>
      </c>
      <c r="F104" s="9" t="n">
        <f aca="false">Conferência!F321</f>
        <v>382748</v>
      </c>
      <c r="G104" s="10" t="str">
        <f aca="false">Conferência!G321</f>
        <v>Samsung Chromebook 4 cinza</v>
      </c>
      <c r="H104" s="10" t="str">
        <f aca="false">Conferência!H321</f>
        <v>Carrinho 05 ( ROXO)</v>
      </c>
      <c r="I104" s="10" t="s">
        <v>307</v>
      </c>
      <c r="J104" s="10" t="s">
        <v>299</v>
      </c>
      <c r="K104" s="9" t="s">
        <v>54</v>
      </c>
      <c r="L104" s="10"/>
    </row>
    <row r="105" customFormat="false" ht="61.5" hidden="false" customHeight="true" outlineLevel="0" collapsed="false">
      <c r="A105" s="9" t="n">
        <v>38</v>
      </c>
      <c r="B105" s="9" t="s">
        <v>207</v>
      </c>
      <c r="C105" s="9" t="n">
        <v>15</v>
      </c>
      <c r="D105" s="10" t="s">
        <v>261</v>
      </c>
      <c r="E105" s="10" t="str">
        <f aca="false">Conferência!C322</f>
        <v>09S29QAR1111000</v>
      </c>
      <c r="F105" s="9" t="n">
        <f aca="false">Conferência!F322</f>
        <v>382855</v>
      </c>
      <c r="G105" s="10" t="str">
        <f aca="false">Conferência!G322</f>
        <v>Samsung Chromebook 4 cinza</v>
      </c>
      <c r="H105" s="10" t="str">
        <f aca="false">Conferência!H322</f>
        <v>Carrinho 13 - CIANO</v>
      </c>
      <c r="I105" s="10" t="s">
        <v>308</v>
      </c>
      <c r="J105" s="10" t="s">
        <v>299</v>
      </c>
      <c r="K105" s="9" t="s">
        <v>54</v>
      </c>
      <c r="L105" s="10"/>
    </row>
    <row r="106" customFormat="false" ht="61.5" hidden="false" customHeight="true" outlineLevel="0" collapsed="false">
      <c r="A106" s="9" t="n">
        <v>39</v>
      </c>
      <c r="B106" s="9" t="s">
        <v>207</v>
      </c>
      <c r="C106" s="9" t="n">
        <v>16</v>
      </c>
      <c r="D106" s="10" t="s">
        <v>261</v>
      </c>
      <c r="E106" s="10" t="str">
        <f aca="false">Conferência!C323</f>
        <v>09S29QAR109626P</v>
      </c>
      <c r="F106" s="9" t="n">
        <f aca="false">Conferência!F323</f>
        <v>382796</v>
      </c>
      <c r="G106" s="10" t="str">
        <f aca="false">Conferência!G323</f>
        <v>Samsung Chromebook 4 cinza</v>
      </c>
      <c r="H106" s="10" t="str">
        <f aca="false">Conferência!H323</f>
        <v>Carrinho 13 - CIANO</v>
      </c>
      <c r="I106" s="10" t="s">
        <v>307</v>
      </c>
      <c r="J106" s="10" t="s">
        <v>299</v>
      </c>
      <c r="K106" s="9" t="s">
        <v>54</v>
      </c>
      <c r="L106" s="10"/>
    </row>
    <row r="107" customFormat="false" ht="61.5" hidden="false" customHeight="true" outlineLevel="0" collapsed="false">
      <c r="A107" s="9" t="n">
        <v>40</v>
      </c>
      <c r="B107" s="9" t="s">
        <v>207</v>
      </c>
      <c r="C107" s="9" t="n">
        <v>18</v>
      </c>
      <c r="D107" s="10" t="s">
        <v>261</v>
      </c>
      <c r="E107" s="10" t="str">
        <f aca="false">Conferência!C325</f>
        <v>NXH0HAL001832D67DC9501</v>
      </c>
      <c r="F107" s="9" t="n">
        <f aca="false">Conferência!F325</f>
        <v>413325</v>
      </c>
      <c r="G107" s="10" t="str">
        <f aca="false">Conferência!G325</f>
        <v>Acer Chromebook 11 C731 (N16Q13) preto</v>
      </c>
      <c r="H107" s="10" t="str">
        <f aca="false">Conferência!H325</f>
        <v>Carrinho 13 - CIANO</v>
      </c>
      <c r="I107" s="10" t="s">
        <v>309</v>
      </c>
      <c r="J107" s="10" t="s">
        <v>299</v>
      </c>
      <c r="K107" s="9" t="s">
        <v>54</v>
      </c>
      <c r="L107" s="10"/>
    </row>
    <row r="108" customFormat="false" ht="61.5" hidden="false" customHeight="true" outlineLevel="0" collapsed="false">
      <c r="A108" s="9" t="n">
        <v>41</v>
      </c>
      <c r="B108" s="9" t="s">
        <v>207</v>
      </c>
      <c r="C108" s="9" t="n">
        <v>19</v>
      </c>
      <c r="D108" s="10" t="s">
        <v>261</v>
      </c>
      <c r="E108" s="10" t="str">
        <f aca="false">Conferência!C326</f>
        <v>NXH0HAL001838E76A89501</v>
      </c>
      <c r="F108" s="9" t="n">
        <f aca="false">Conferência!F326</f>
        <v>415383</v>
      </c>
      <c r="G108" s="10" t="str">
        <f aca="false">Conferência!G326</f>
        <v>Acer Chromebook 11 C731 (N16Q13) preto</v>
      </c>
      <c r="H108" s="10" t="str">
        <f aca="false">Conferência!H326</f>
        <v>Carrinho 12 - OCRE </v>
      </c>
      <c r="I108" s="10" t="s">
        <v>310</v>
      </c>
      <c r="J108" s="10" t="s">
        <v>299</v>
      </c>
      <c r="K108" s="9" t="s">
        <v>54</v>
      </c>
      <c r="L108" s="10"/>
    </row>
    <row r="109" customFormat="false" ht="61.5" hidden="false" customHeight="true" outlineLevel="0" collapsed="false">
      <c r="A109" s="9" t="n">
        <v>42</v>
      </c>
      <c r="B109" s="9" t="s">
        <v>207</v>
      </c>
      <c r="C109" s="9" t="n">
        <v>20</v>
      </c>
      <c r="D109" s="10" t="s">
        <v>261</v>
      </c>
      <c r="E109" s="10" t="str">
        <f aca="false">Conferência!C327</f>
        <v>NXH0HAL0018481E9B89501</v>
      </c>
      <c r="F109" s="9" t="n">
        <f aca="false">Conferência!F327</f>
        <v>413799</v>
      </c>
      <c r="G109" s="10" t="str">
        <f aca="false">Conferência!G327</f>
        <v>Acer Chromebook 11 C731 (N16Q13) preto</v>
      </c>
      <c r="H109" s="10" t="str">
        <f aca="false">Conferência!H327</f>
        <v>Carrinho 13 - CIANO</v>
      </c>
      <c r="I109" s="10" t="s">
        <v>311</v>
      </c>
      <c r="J109" s="10" t="s">
        <v>299</v>
      </c>
      <c r="K109" s="9" t="s">
        <v>54</v>
      </c>
      <c r="L109" s="10"/>
    </row>
    <row r="110" customFormat="false" ht="61.5" hidden="false" customHeight="true" outlineLevel="0" collapsed="false">
      <c r="A110" s="9" t="n">
        <v>43</v>
      </c>
      <c r="B110" s="9" t="s">
        <v>207</v>
      </c>
      <c r="C110" s="9" t="n">
        <v>21</v>
      </c>
      <c r="D110" s="10" t="s">
        <v>261</v>
      </c>
      <c r="E110" s="10" t="str">
        <f aca="false">Conferência!C328</f>
        <v>NXH0HAL001838E6A519501</v>
      </c>
      <c r="F110" s="9" t="n">
        <f aca="false">Conferência!F328</f>
        <v>415288</v>
      </c>
      <c r="G110" s="10" t="str">
        <f aca="false">Conferência!G328</f>
        <v>Acer Chromebook 11 C731 (N16Q13) preto</v>
      </c>
      <c r="H110" s="10" t="str">
        <f aca="false">Conferência!H328</f>
        <v>Carrinho 13 - CIANO</v>
      </c>
      <c r="I110" s="10" t="s">
        <v>305</v>
      </c>
      <c r="J110" s="10" t="s">
        <v>299</v>
      </c>
      <c r="K110" s="9" t="s">
        <v>54</v>
      </c>
      <c r="L110" s="10"/>
    </row>
    <row r="111" customFormat="false" ht="61.5" hidden="false" customHeight="true" outlineLevel="0" collapsed="false">
      <c r="A111" s="9" t="n">
        <v>44</v>
      </c>
      <c r="B111" s="9" t="s">
        <v>207</v>
      </c>
      <c r="C111" s="9" t="n">
        <v>22</v>
      </c>
      <c r="D111" s="10" t="s">
        <v>285</v>
      </c>
      <c r="E111" s="10" t="str">
        <f aca="false">Conferência!C329</f>
        <v>NXH0HAL001830D18CC9501</v>
      </c>
      <c r="F111" s="9" t="str">
        <f aca="false">Conferência!F329</f>
        <v>Não localizado</v>
      </c>
      <c r="G111" s="10" t="str">
        <f aca="false">Conferência!G329</f>
        <v>Acer Chromebook 11 C731 (N16Q13) preto</v>
      </c>
      <c r="H111" s="10" t="str">
        <f aca="false">Conferência!H329</f>
        <v>Carrinho 13 - CIANO</v>
      </c>
      <c r="I111" s="10" t="s">
        <v>312</v>
      </c>
      <c r="J111" s="10" t="s">
        <v>303</v>
      </c>
      <c r="K111" s="9" t="s">
        <v>54</v>
      </c>
      <c r="L111" s="10"/>
    </row>
    <row r="112" customFormat="false" ht="61.5" hidden="false" customHeight="true" outlineLevel="0" collapsed="false">
      <c r="A112" s="9" t="n">
        <v>45</v>
      </c>
      <c r="B112" s="9" t="s">
        <v>207</v>
      </c>
      <c r="C112" s="9" t="n">
        <v>23</v>
      </c>
      <c r="D112" s="10" t="s">
        <v>261</v>
      </c>
      <c r="E112" s="10" t="str">
        <f aca="false">Conferência!C330</f>
        <v>NXH0HAL001838E738F9501</v>
      </c>
      <c r="F112" s="9" t="n">
        <f aca="false">Conferência!F330</f>
        <v>415326</v>
      </c>
      <c r="G112" s="10" t="str">
        <f aca="false">Conferência!G330</f>
        <v>Acer Chromebook 11 C731 (N16Q13) preto</v>
      </c>
      <c r="H112" s="10" t="str">
        <f aca="false">Conferência!H330</f>
        <v>MANUTENÇÃO - 2025 -SALA COFRE </v>
      </c>
      <c r="I112" s="10" t="s">
        <v>313</v>
      </c>
      <c r="J112" s="10" t="s">
        <v>299</v>
      </c>
      <c r="K112" s="9" t="s">
        <v>54</v>
      </c>
      <c r="L112" s="10"/>
    </row>
    <row r="113" customFormat="false" ht="61.5" hidden="false" customHeight="true" outlineLevel="0" collapsed="false">
      <c r="A113" s="9" t="n">
        <v>46</v>
      </c>
      <c r="B113" s="9" t="s">
        <v>207</v>
      </c>
      <c r="C113" s="9" t="n">
        <v>24</v>
      </c>
      <c r="D113" s="10" t="s">
        <v>261</v>
      </c>
      <c r="E113" s="10" t="str">
        <f aca="false">Conferência!C331</f>
        <v>NXH0HAL001838E71669501</v>
      </c>
      <c r="F113" s="9" t="n">
        <f aca="false">Conferência!F331</f>
        <v>415284</v>
      </c>
      <c r="G113" s="10" t="str">
        <f aca="false">Conferência!G331</f>
        <v>Acer Chromebook 11 C731 (N16Q13) preto</v>
      </c>
      <c r="H113" s="10" t="str">
        <f aca="false">Conferência!H331</f>
        <v>Carrinho 12 - OCRE </v>
      </c>
      <c r="I113" s="10" t="s">
        <v>307</v>
      </c>
      <c r="J113" s="10" t="s">
        <v>299</v>
      </c>
      <c r="K113" s="9" t="s">
        <v>54</v>
      </c>
      <c r="L113" s="10"/>
    </row>
    <row r="114" customFormat="false" ht="61.5" hidden="false" customHeight="true" outlineLevel="0" collapsed="false">
      <c r="A114" s="9" t="n">
        <v>47</v>
      </c>
      <c r="B114" s="9" t="s">
        <v>207</v>
      </c>
      <c r="C114" s="9" t="n">
        <v>25</v>
      </c>
      <c r="D114" s="10" t="s">
        <v>261</v>
      </c>
      <c r="E114" s="10" t="str">
        <f aca="false">Conferência!C332</f>
        <v>NXH0HAL001838E744C9501</v>
      </c>
      <c r="F114" s="9" t="n">
        <f aca="false">Conferência!F332</f>
        <v>415315</v>
      </c>
      <c r="G114" s="10" t="str">
        <f aca="false">Conferência!G332</f>
        <v>Acer Chromebook 11 C731 (N16Q13) preto</v>
      </c>
      <c r="H114" s="10" t="str">
        <f aca="false">Conferência!H332</f>
        <v>Carrinho 13 - CIANO</v>
      </c>
      <c r="I114" s="10" t="s">
        <v>307</v>
      </c>
      <c r="J114" s="10" t="s">
        <v>299</v>
      </c>
      <c r="K114" s="9" t="s">
        <v>54</v>
      </c>
      <c r="L114" s="10"/>
    </row>
    <row r="115" customFormat="false" ht="61.5" hidden="false" customHeight="true" outlineLevel="0" collapsed="false">
      <c r="A115" s="9" t="n">
        <v>48</v>
      </c>
      <c r="B115" s="9" t="s">
        <v>207</v>
      </c>
      <c r="C115" s="9" t="n">
        <v>27</v>
      </c>
      <c r="D115" s="10" t="s">
        <v>261</v>
      </c>
      <c r="E115" s="10" t="str">
        <f aca="false">Conferência!C334</f>
        <v>NXH0HAL001838E7BC19501</v>
      </c>
      <c r="F115" s="9" t="n">
        <f aca="false">Conferência!F334</f>
        <v>414354</v>
      </c>
      <c r="G115" s="10" t="str">
        <f aca="false">Conferência!G334</f>
        <v>Acer Chromebook 11 C731 (N16Q13) preto</v>
      </c>
      <c r="H115" s="10" t="str">
        <f aca="false">Conferência!H334</f>
        <v>Carrinho 12 - OCRE </v>
      </c>
      <c r="I115" s="10" t="s">
        <v>307</v>
      </c>
      <c r="J115" s="10" t="s">
        <v>299</v>
      </c>
      <c r="K115" s="9" t="s">
        <v>54</v>
      </c>
      <c r="L115" s="10"/>
    </row>
    <row r="116" customFormat="false" ht="61.5" hidden="false" customHeight="true" outlineLevel="0" collapsed="false">
      <c r="A116" s="9" t="n">
        <v>49</v>
      </c>
      <c r="B116" s="9" t="s">
        <v>207</v>
      </c>
      <c r="C116" s="9" t="n">
        <v>28</v>
      </c>
      <c r="D116" s="10" t="s">
        <v>261</v>
      </c>
      <c r="E116" s="10" t="str">
        <f aca="false">Conferência!C335</f>
        <v>NXH0HAL001838E7B809501</v>
      </c>
      <c r="F116" s="9" t="n">
        <f aca="false">Conferência!F335</f>
        <v>414530</v>
      </c>
      <c r="G116" s="10" t="str">
        <f aca="false">Conferência!G335</f>
        <v>Acer Chromebook 11 C731 (N16Q13) preto</v>
      </c>
      <c r="H116" s="10" t="str">
        <f aca="false">Conferência!H335</f>
        <v>Carrinho 13 - CIANO</v>
      </c>
      <c r="I116" s="10" t="s">
        <v>314</v>
      </c>
      <c r="J116" s="10" t="s">
        <v>299</v>
      </c>
      <c r="K116" s="9" t="s">
        <v>54</v>
      </c>
      <c r="L116" s="10"/>
    </row>
    <row r="117" customFormat="false" ht="61.5" hidden="false" customHeight="true" outlineLevel="0" collapsed="false">
      <c r="A117" s="9" t="n">
        <v>50</v>
      </c>
      <c r="B117" s="9" t="s">
        <v>207</v>
      </c>
      <c r="C117" s="9" t="n">
        <v>29</v>
      </c>
      <c r="D117" s="10" t="s">
        <v>261</v>
      </c>
      <c r="E117" s="10" t="str">
        <f aca="false">Conferência!C336</f>
        <v>09S29QAR109471H</v>
      </c>
      <c r="F117" s="9" t="n">
        <f aca="false">Conferência!F336</f>
        <v>382738</v>
      </c>
      <c r="G117" s="10" t="str">
        <f aca="false">Conferência!G336</f>
        <v>Samsung Chromebook 4 cinza</v>
      </c>
      <c r="H117" s="10" t="str">
        <f aca="false">Conferência!H336</f>
        <v>Carrinho 13 - CIANO</v>
      </c>
      <c r="I117" s="10" t="s">
        <v>315</v>
      </c>
      <c r="J117" s="10" t="s">
        <v>299</v>
      </c>
      <c r="K117" s="9" t="s">
        <v>54</v>
      </c>
      <c r="L117" s="10"/>
    </row>
  </sheetData>
  <mergeCells count="1">
    <mergeCell ref="A1:K1"/>
  </mergeCells>
  <conditionalFormatting sqref="A5:L64">
    <cfRule type="expression" priority="2" aboveAverage="0" equalAverage="0" bottom="0" percent="0" rank="0" text="" dxfId="0">
      <formula>$K5="Sim"</formula>
    </cfRule>
  </conditionalFormatting>
  <conditionalFormatting sqref="A68:L117">
    <cfRule type="expression" priority="3" aboveAverage="0" equalAverage="0" bottom="0" percent="0" rank="0" text="" dxfId="0">
      <formula>$K68="Sim"</formula>
    </cfRule>
  </conditionalFormatting>
  <dataValidations count="1">
    <dataValidation allowBlank="false" errorStyle="stop" operator="between" showDropDown="false" showErrorMessage="false" showInputMessage="false" sqref="K5:K64 K68:K117" type="list">
      <formula1>"Sim,Não"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6"/>
    <col collapsed="false" customWidth="true" hidden="false" outlineLevel="0" max="4" min="3" style="0" width="26"/>
    <col collapsed="false" customWidth="true" hidden="false" outlineLevel="0" max="5" min="5" style="0" width="11"/>
    <col collapsed="false" customWidth="true" hidden="false" outlineLevel="0" max="6" min="6" style="0" width="14"/>
    <col collapsed="false" customWidth="true" hidden="false" outlineLevel="0" max="7" min="7" style="0" width="30"/>
    <col collapsed="false" customWidth="true" hidden="false" outlineLevel="0" max="8" min="8" style="0" width="40"/>
    <col collapsed="false" customWidth="true" hidden="false" outlineLevel="0" max="9" min="9" style="0" width="36"/>
    <col collapsed="false" customWidth="true" hidden="false" outlineLevel="0" max="10" min="10" style="0" width="12"/>
    <col collapsed="false" customWidth="true" hidden="false" outlineLevel="0" max="11" min="11" style="0" width="20"/>
    <col collapsed="false" customWidth="true" hidden="false" outlineLevel="0" max="12" min="12" style="0" width="70"/>
    <col collapsed="false" customWidth="true" hidden="false" outlineLevel="0" max="13" min="13" style="0" width="48"/>
  </cols>
  <sheetData>
    <row r="1" customFormat="false" ht="17.35" hidden="false" customHeight="false" outlineLevel="0" collapsed="false">
      <c r="A1" s="8" t="s">
        <v>316</v>
      </c>
      <c r="B1" s="8"/>
      <c r="C1" s="8"/>
      <c r="D1" s="8"/>
      <c r="E1" s="8"/>
      <c r="F1" s="8"/>
      <c r="G1" s="8"/>
      <c r="H1" s="8"/>
      <c r="I1" s="8"/>
      <c r="J1" s="8"/>
      <c r="K1" s="8"/>
      <c r="L1" s="8"/>
      <c r="M1" s="8"/>
    </row>
    <row r="3" customFormat="false" ht="31.5" hidden="false" customHeight="true" outlineLevel="0" collapsed="false">
      <c r="A3" s="2" t="s">
        <v>317</v>
      </c>
      <c r="B3" s="2" t="s">
        <v>318</v>
      </c>
      <c r="C3" s="2" t="s">
        <v>319</v>
      </c>
      <c r="D3" s="2" t="s">
        <v>320</v>
      </c>
      <c r="E3" s="2" t="s">
        <v>321</v>
      </c>
      <c r="F3" s="2" t="s">
        <v>41</v>
      </c>
      <c r="G3" s="2" t="s">
        <v>255</v>
      </c>
      <c r="H3" s="2" t="s">
        <v>43</v>
      </c>
      <c r="I3" s="2" t="s">
        <v>322</v>
      </c>
      <c r="J3" s="2" t="s">
        <v>323</v>
      </c>
      <c r="K3" s="2" t="s">
        <v>324</v>
      </c>
      <c r="L3" s="2" t="s">
        <v>325</v>
      </c>
      <c r="M3" s="2" t="s">
        <v>326</v>
      </c>
    </row>
    <row r="4" customFormat="false" ht="15" hidden="false" customHeight="false" outlineLevel="0" collapsed="false">
      <c r="A4" s="3" t="s">
        <v>9</v>
      </c>
      <c r="B4" s="9" t="n">
        <v>1</v>
      </c>
      <c r="C4" s="3" t="s">
        <v>327</v>
      </c>
      <c r="D4" s="3" t="str">
        <f aca="false">IF(LEFT(C4,3)="09S",LEFT(C4,14),C4)</f>
        <v>NXH0HAL001832D5BB39501</v>
      </c>
      <c r="E4" s="9" t="str">
        <f aca="false">IF(LEFT(C4,3)="09S",MID(C4,15,5),"")</f>
        <v/>
      </c>
      <c r="F4" s="9" t="n">
        <v>413984</v>
      </c>
      <c r="G4" s="3" t="s">
        <v>328</v>
      </c>
      <c r="H4" s="3" t="str">
        <f aca="false">IFERROR(INDEX(Sistema!$F$2:$F$421,MATCH(D4,Sistema!$G$2:$G$421,0)),"Não encontrado")</f>
        <v>Carrinho 01 ( AZUL)</v>
      </c>
      <c r="I4" s="3" t="str">
        <f aca="false">IFERROR(INDEX(Sistema!$C$2:$C$421,MATCH(D4,Sistema!$G$2:$G$421,0)),"")</f>
        <v>Acer Chromebook 11 N7 (C731, C731T)</v>
      </c>
      <c r="J4" s="9" t="str">
        <f aca="false">IF(LEFT(C4,3)="09S",IFERROR(MID(INDEX(Sistema!$D$2:$D$421,MATCH(D4,Sistema!$G$2:$G$421,0)),15,5),""),"")</f>
        <v/>
      </c>
      <c r="K4" s="9" t="str">
        <f aca="false">IF(H4="Não encontrado","Não encontrado",IF(H4&lt;&gt;A4,"Local diferente",IF(AND(E4&lt;&gt;"",J4&lt;&gt;"",UPPER(E4)&lt;&gt;UPPER(J4)),"Letra final diferente","Confere")))</f>
        <v>Confere</v>
      </c>
      <c r="L4" s="10"/>
      <c r="M4" s="10"/>
    </row>
    <row r="5" customFormat="false" ht="15" hidden="false" customHeight="false" outlineLevel="0" collapsed="false">
      <c r="A5" s="3" t="s">
        <v>9</v>
      </c>
      <c r="B5" s="9" t="n">
        <v>2</v>
      </c>
      <c r="C5" s="3" t="s">
        <v>329</v>
      </c>
      <c r="D5" s="3" t="str">
        <f aca="false">IF(LEFT(C5,3)="09S",LEFT(C5,14),C5)</f>
        <v>NXH0HAL001832D69D19501</v>
      </c>
      <c r="E5" s="9" t="str">
        <f aca="false">IF(LEFT(C5,3)="09S",MID(C5,15,5),"")</f>
        <v/>
      </c>
      <c r="F5" s="9" t="n">
        <v>413920</v>
      </c>
      <c r="G5" s="3" t="s">
        <v>328</v>
      </c>
      <c r="H5" s="3" t="str">
        <f aca="false">IFERROR(INDEX(Sistema!$F$2:$F$421,MATCH(D5,Sistema!$G$2:$G$421,0)),"Não encontrado")</f>
        <v>Carrinho 01 ( AZUL)</v>
      </c>
      <c r="I5" s="3" t="str">
        <f aca="false">IFERROR(INDEX(Sistema!$C$2:$C$421,MATCH(D5,Sistema!$G$2:$G$421,0)),"")</f>
        <v>Acer Chromebook 11 N7 (C731, C731T)</v>
      </c>
      <c r="J5" s="9" t="str">
        <f aca="false">IF(LEFT(C5,3)="09S",IFERROR(MID(INDEX(Sistema!$D$2:$D$421,MATCH(D5,Sistema!$G$2:$G$421,0)),15,5),""),"")</f>
        <v/>
      </c>
      <c r="K5" s="9" t="str">
        <f aca="false">IF(H5="Não encontrado","Não encontrado",IF(H5&lt;&gt;A5,"Local diferente",IF(AND(E5&lt;&gt;"",J5&lt;&gt;"",UPPER(E5)&lt;&gt;UPPER(J5)),"Letra final diferente","Confere")))</f>
        <v>Confere</v>
      </c>
      <c r="L5" s="10"/>
      <c r="M5" s="10"/>
    </row>
    <row r="6" customFormat="false" ht="15" hidden="false" customHeight="false" outlineLevel="0" collapsed="false">
      <c r="A6" s="3" t="s">
        <v>9</v>
      </c>
      <c r="B6" s="9" t="n">
        <v>3</v>
      </c>
      <c r="C6" s="3" t="s">
        <v>330</v>
      </c>
      <c r="D6" s="3" t="str">
        <f aca="false">IF(LEFT(C6,3)="09S",LEFT(C6,14),C6)</f>
        <v>NXH0HAL001832D60FE9501</v>
      </c>
      <c r="E6" s="9" t="str">
        <f aca="false">IF(LEFT(C6,3)="09S",MID(C6,15,5),"")</f>
        <v/>
      </c>
      <c r="F6" s="9" t="n">
        <v>413910</v>
      </c>
      <c r="G6" s="3" t="s">
        <v>328</v>
      </c>
      <c r="H6" s="3" t="str">
        <f aca="false">IFERROR(INDEX(Sistema!$F$2:$F$421,MATCH(D6,Sistema!$G$2:$G$421,0)),"Não encontrado")</f>
        <v>Carrinho 01 ( AZUL)</v>
      </c>
      <c r="I6" s="3" t="str">
        <f aca="false">IFERROR(INDEX(Sistema!$C$2:$C$421,MATCH(D6,Sistema!$G$2:$G$421,0)),"")</f>
        <v>Acer Chromebook 11 N7 (C731, C731T)</v>
      </c>
      <c r="J6" s="9" t="str">
        <f aca="false">IF(LEFT(C6,3)="09S",IFERROR(MID(INDEX(Sistema!$D$2:$D$421,MATCH(D6,Sistema!$G$2:$G$421,0)),15,5),""),"")</f>
        <v/>
      </c>
      <c r="K6" s="9" t="str">
        <f aca="false">IF(H6="Não encontrado","Não encontrado",IF(H6&lt;&gt;A6,"Local diferente",IF(AND(E6&lt;&gt;"",J6&lt;&gt;"",UPPER(E6)&lt;&gt;UPPER(J6)),"Letra final diferente","Confere")))</f>
        <v>Confere</v>
      </c>
      <c r="L6" s="10"/>
      <c r="M6" s="10"/>
    </row>
    <row r="7" customFormat="false" ht="15" hidden="false" customHeight="false" outlineLevel="0" collapsed="false">
      <c r="A7" s="3" t="s">
        <v>9</v>
      </c>
      <c r="B7" s="9" t="n">
        <v>4</v>
      </c>
      <c r="C7" s="3" t="s">
        <v>331</v>
      </c>
      <c r="D7" s="3" t="str">
        <f aca="false">IF(LEFT(C7,3)="09S",LEFT(C7,14),C7)</f>
        <v>NXH0HAL001832D659F9501</v>
      </c>
      <c r="E7" s="9" t="str">
        <f aca="false">IF(LEFT(C7,3)="09S",MID(C7,15,5),"")</f>
        <v/>
      </c>
      <c r="F7" s="9" t="n">
        <v>413798</v>
      </c>
      <c r="G7" s="3" t="s">
        <v>328</v>
      </c>
      <c r="H7" s="3" t="str">
        <f aca="false">IFERROR(INDEX(Sistema!$F$2:$F$421,MATCH(D7,Sistema!$G$2:$G$421,0)),"Não encontrado")</f>
        <v>Carrinho 01 ( AZUL)</v>
      </c>
      <c r="I7" s="3" t="str">
        <f aca="false">IFERROR(INDEX(Sistema!$C$2:$C$421,MATCH(D7,Sistema!$G$2:$G$421,0)),"")</f>
        <v>Acer Chromebook 11 N7 (C731, C731T)</v>
      </c>
      <c r="J7" s="9" t="str">
        <f aca="false">IF(LEFT(C7,3)="09S",IFERROR(MID(INDEX(Sistema!$D$2:$D$421,MATCH(D7,Sistema!$G$2:$G$421,0)),15,5),""),"")</f>
        <v/>
      </c>
      <c r="K7" s="9" t="str">
        <f aca="false">IF(H7="Não encontrado","Não encontrado",IF(H7&lt;&gt;A7,"Local diferente",IF(AND(E7&lt;&gt;"",J7&lt;&gt;"",UPPER(E7)&lt;&gt;UPPER(J7)),"Letra final diferente","Confere")))</f>
        <v>Confere</v>
      </c>
      <c r="L7" s="10"/>
      <c r="M7" s="10"/>
    </row>
    <row r="8" customFormat="false" ht="15" hidden="false" customHeight="false" outlineLevel="0" collapsed="false">
      <c r="A8" s="3" t="s">
        <v>9</v>
      </c>
      <c r="B8" s="9" t="n">
        <v>5</v>
      </c>
      <c r="C8" s="3" t="s">
        <v>332</v>
      </c>
      <c r="D8" s="3" t="str">
        <f aca="false">IF(LEFT(C8,3)="09S",LEFT(C8,14),C8)</f>
        <v>NXH0HAL001839ECE489501</v>
      </c>
      <c r="E8" s="9" t="str">
        <f aca="false">IF(LEFT(C8,3)="09S",MID(C8,15,5),"")</f>
        <v/>
      </c>
      <c r="F8" s="9" t="n">
        <v>413962</v>
      </c>
      <c r="G8" s="3" t="s">
        <v>328</v>
      </c>
      <c r="H8" s="3" t="str">
        <f aca="false">IFERROR(INDEX(Sistema!$F$2:$F$421,MATCH(D8,Sistema!$G$2:$G$421,0)),"Não encontrado")</f>
        <v>Carrinho 01 ( AZUL)</v>
      </c>
      <c r="I8" s="3" t="str">
        <f aca="false">IFERROR(INDEX(Sistema!$C$2:$C$421,MATCH(D8,Sistema!$G$2:$G$421,0)),"")</f>
        <v>Acer Chromebook 11 N7 (C731, C731T)</v>
      </c>
      <c r="J8" s="9" t="str">
        <f aca="false">IF(LEFT(C8,3)="09S",IFERROR(MID(INDEX(Sistema!$D$2:$D$421,MATCH(D8,Sistema!$G$2:$G$421,0)),15,5),""),"")</f>
        <v/>
      </c>
      <c r="K8" s="9" t="str">
        <f aca="false">IF(H8="Não encontrado","Não encontrado",IF(H8&lt;&gt;A8,"Local diferente",IF(AND(E8&lt;&gt;"",J8&lt;&gt;"",UPPER(E8)&lt;&gt;UPPER(J8)),"Letra final diferente","Confere")))</f>
        <v>Confere</v>
      </c>
      <c r="L8" s="10"/>
      <c r="M8" s="10"/>
    </row>
    <row r="9" customFormat="false" ht="15" hidden="false" customHeight="false" outlineLevel="0" collapsed="false">
      <c r="A9" s="3" t="s">
        <v>9</v>
      </c>
      <c r="B9" s="9" t="n">
        <v>6</v>
      </c>
      <c r="C9" s="3" t="s">
        <v>333</v>
      </c>
      <c r="D9" s="3" t="str">
        <f aca="false">IF(LEFT(C9,3)="09S",LEFT(C9,14),C9)</f>
        <v>NXH0HAL001832D69CD9501</v>
      </c>
      <c r="E9" s="9" t="str">
        <f aca="false">IF(LEFT(C9,3)="09S",MID(C9,15,5),"")</f>
        <v/>
      </c>
      <c r="F9" s="9" t="n">
        <v>413766</v>
      </c>
      <c r="G9" s="3" t="s">
        <v>328</v>
      </c>
      <c r="H9" s="3" t="str">
        <f aca="false">IFERROR(INDEX(Sistema!$F$2:$F$421,MATCH(D9,Sistema!$G$2:$G$421,0)),"Não encontrado")</f>
        <v>Carrinho 01 ( AZUL)</v>
      </c>
      <c r="I9" s="3" t="str">
        <f aca="false">IFERROR(INDEX(Sistema!$C$2:$C$421,MATCH(D9,Sistema!$G$2:$G$421,0)),"")</f>
        <v>Acer Chromebook 11 N7 (C731, C731T)</v>
      </c>
      <c r="J9" s="9" t="str">
        <f aca="false">IF(LEFT(C9,3)="09S",IFERROR(MID(INDEX(Sistema!$D$2:$D$421,MATCH(D9,Sistema!$G$2:$G$421,0)),15,5),""),"")</f>
        <v/>
      </c>
      <c r="K9" s="9" t="str">
        <f aca="false">IF(H9="Não encontrado","Não encontrado",IF(H9&lt;&gt;A9,"Local diferente",IF(AND(E9&lt;&gt;"",J9&lt;&gt;"",UPPER(E9)&lt;&gt;UPPER(J9)),"Letra final diferente","Confere")))</f>
        <v>Confere</v>
      </c>
      <c r="L9" s="10"/>
      <c r="M9" s="10"/>
    </row>
    <row r="10" customFormat="false" ht="15" hidden="false" customHeight="false" outlineLevel="0" collapsed="false">
      <c r="A10" s="3" t="s">
        <v>9</v>
      </c>
      <c r="B10" s="9" t="n">
        <v>7</v>
      </c>
      <c r="C10" s="3" t="s">
        <v>334</v>
      </c>
      <c r="D10" s="3" t="str">
        <f aca="false">IF(LEFT(C10,3)="09S",LEFT(C10,14),C10)</f>
        <v>NXH0HAL001832D65869501</v>
      </c>
      <c r="E10" s="9" t="str">
        <f aca="false">IF(LEFT(C10,3)="09S",MID(C10,15,5),"")</f>
        <v/>
      </c>
      <c r="F10" s="9" t="n">
        <v>413918</v>
      </c>
      <c r="G10" s="3" t="s">
        <v>328</v>
      </c>
      <c r="H10" s="3" t="str">
        <f aca="false">IFERROR(INDEX(Sistema!$F$2:$F$421,MATCH(D10,Sistema!$G$2:$G$421,0)),"Não encontrado")</f>
        <v>Carrinho 01 ( AZUL)</v>
      </c>
      <c r="I10" s="3" t="str">
        <f aca="false">IFERROR(INDEX(Sistema!$C$2:$C$421,MATCH(D10,Sistema!$G$2:$G$421,0)),"")</f>
        <v>Acer Chromebook 11 N7 (C731, C731T)</v>
      </c>
      <c r="J10" s="9" t="str">
        <f aca="false">IF(LEFT(C10,3)="09S",IFERROR(MID(INDEX(Sistema!$D$2:$D$421,MATCH(D10,Sistema!$G$2:$G$421,0)),15,5),""),"")</f>
        <v/>
      </c>
      <c r="K10" s="9" t="str">
        <f aca="false">IF(H10="Não encontrado","Não encontrado",IF(H10&lt;&gt;A10,"Local diferente",IF(AND(E10&lt;&gt;"",J10&lt;&gt;"",UPPER(E10)&lt;&gt;UPPER(J10)),"Letra final diferente","Confere")))</f>
        <v>Confere</v>
      </c>
      <c r="L10" s="10"/>
      <c r="M10" s="10"/>
    </row>
    <row r="11" customFormat="false" ht="15" hidden="false" customHeight="false" outlineLevel="0" collapsed="false">
      <c r="A11" s="3" t="s">
        <v>9</v>
      </c>
      <c r="B11" s="9" t="n">
        <v>8</v>
      </c>
      <c r="C11" s="3" t="s">
        <v>335</v>
      </c>
      <c r="D11" s="3" t="str">
        <f aca="false">IF(LEFT(C11,3)="09S",LEFT(C11,14),C11)</f>
        <v>NXH0HAL001832D68659501</v>
      </c>
      <c r="E11" s="9" t="str">
        <f aca="false">IF(LEFT(C11,3)="09S",MID(C11,15,5),"")</f>
        <v/>
      </c>
      <c r="F11" s="9" t="n">
        <v>413875</v>
      </c>
      <c r="G11" s="3" t="s">
        <v>328</v>
      </c>
      <c r="H11" s="3" t="str">
        <f aca="false">IFERROR(INDEX(Sistema!$F$2:$F$421,MATCH(D11,Sistema!$G$2:$G$421,0)),"Não encontrado")</f>
        <v>Carrinho 01 ( AZUL)</v>
      </c>
      <c r="I11" s="3" t="str">
        <f aca="false">IFERROR(INDEX(Sistema!$C$2:$C$421,MATCH(D11,Sistema!$G$2:$G$421,0)),"")</f>
        <v>Acer Chromebook 11 N7 (C731, C731T)</v>
      </c>
      <c r="J11" s="9" t="str">
        <f aca="false">IF(LEFT(C11,3)="09S",IFERROR(MID(INDEX(Sistema!$D$2:$D$421,MATCH(D11,Sistema!$G$2:$G$421,0)),15,5),""),"")</f>
        <v/>
      </c>
      <c r="K11" s="9" t="str">
        <f aca="false">IF(H11="Não encontrado","Não encontrado",IF(H11&lt;&gt;A11,"Local diferente",IF(AND(E11&lt;&gt;"",J11&lt;&gt;"",UPPER(E11)&lt;&gt;UPPER(J11)),"Letra final diferente","Confere")))</f>
        <v>Confere</v>
      </c>
      <c r="L11" s="10"/>
      <c r="M11" s="10"/>
    </row>
    <row r="12" customFormat="false" ht="15" hidden="false" customHeight="false" outlineLevel="0" collapsed="false">
      <c r="A12" s="3" t="s">
        <v>9</v>
      </c>
      <c r="B12" s="9" t="n">
        <v>9</v>
      </c>
      <c r="C12" s="3" t="s">
        <v>336</v>
      </c>
      <c r="D12" s="3" t="str">
        <f aca="false">IF(LEFT(C12,3)="09S",LEFT(C12,14),C12)</f>
        <v>NXH0HAL001832D65DD9501</v>
      </c>
      <c r="E12" s="9" t="str">
        <f aca="false">IF(LEFT(C12,3)="09S",MID(C12,15,5),"")</f>
        <v/>
      </c>
      <c r="F12" s="9" t="n">
        <v>413890</v>
      </c>
      <c r="G12" s="3" t="s">
        <v>328</v>
      </c>
      <c r="H12" s="3" t="str">
        <f aca="false">IFERROR(INDEX(Sistema!$F$2:$F$421,MATCH(D12,Sistema!$G$2:$G$421,0)),"Não encontrado")</f>
        <v>Carrinho 01 ( AZUL)</v>
      </c>
      <c r="I12" s="3" t="str">
        <f aca="false">IFERROR(INDEX(Sistema!$C$2:$C$421,MATCH(D12,Sistema!$G$2:$G$421,0)),"")</f>
        <v>Acer Chromebook 11 N7 (C731, C731T)</v>
      </c>
      <c r="J12" s="9" t="str">
        <f aca="false">IF(LEFT(C12,3)="09S",IFERROR(MID(INDEX(Sistema!$D$2:$D$421,MATCH(D12,Sistema!$G$2:$G$421,0)),15,5),""),"")</f>
        <v/>
      </c>
      <c r="K12" s="9" t="str">
        <f aca="false">IF(H12="Não encontrado","Não encontrado",IF(H12&lt;&gt;A12,"Local diferente",IF(AND(E12&lt;&gt;"",J12&lt;&gt;"",UPPER(E12)&lt;&gt;UPPER(J12)),"Letra final diferente","Confere")))</f>
        <v>Confere</v>
      </c>
      <c r="L12" s="10"/>
      <c r="M12" s="10"/>
    </row>
    <row r="13" customFormat="false" ht="15" hidden="false" customHeight="false" outlineLevel="0" collapsed="false">
      <c r="A13" s="3" t="s">
        <v>9</v>
      </c>
      <c r="B13" s="9" t="n">
        <v>10</v>
      </c>
      <c r="C13" s="3" t="s">
        <v>337</v>
      </c>
      <c r="D13" s="3" t="str">
        <f aca="false">IF(LEFT(C13,3)="09S",LEFT(C13,14),C13)</f>
        <v>NXH0HAL001832D65E79501</v>
      </c>
      <c r="E13" s="9" t="str">
        <f aca="false">IF(LEFT(C13,3)="09S",MID(C13,15,5),"")</f>
        <v/>
      </c>
      <c r="F13" s="9" t="n">
        <v>413802</v>
      </c>
      <c r="G13" s="3" t="s">
        <v>328</v>
      </c>
      <c r="H13" s="3" t="str">
        <f aca="false">IFERROR(INDEX(Sistema!$F$2:$F$421,MATCH(D13,Sistema!$G$2:$G$421,0)),"Não encontrado")</f>
        <v>Carrinho 01 ( AZUL)</v>
      </c>
      <c r="I13" s="3" t="str">
        <f aca="false">IFERROR(INDEX(Sistema!$C$2:$C$421,MATCH(D13,Sistema!$G$2:$G$421,0)),"")</f>
        <v>Acer Chromebook 11 N7 (C731, C731T)</v>
      </c>
      <c r="J13" s="9" t="str">
        <f aca="false">IF(LEFT(C13,3)="09S",IFERROR(MID(INDEX(Sistema!$D$2:$D$421,MATCH(D13,Sistema!$G$2:$G$421,0)),15,5),""),"")</f>
        <v/>
      </c>
      <c r="K13" s="9" t="str">
        <f aca="false">IF(H13="Não encontrado","Não encontrado",IF(H13&lt;&gt;A13,"Local diferente",IF(AND(E13&lt;&gt;"",J13&lt;&gt;"",UPPER(E13)&lt;&gt;UPPER(J13)),"Letra final diferente","Confere")))</f>
        <v>Confere</v>
      </c>
      <c r="L13" s="10"/>
      <c r="M13" s="10"/>
    </row>
    <row r="14" customFormat="false" ht="15" hidden="false" customHeight="false" outlineLevel="0" collapsed="false">
      <c r="A14" s="3" t="s">
        <v>9</v>
      </c>
      <c r="B14" s="9" t="n">
        <v>11</v>
      </c>
      <c r="C14" s="3" t="s">
        <v>338</v>
      </c>
      <c r="D14" s="3" t="str">
        <f aca="false">IF(LEFT(C14,3)="09S",LEFT(C14,14),C14)</f>
        <v>NXH0HAL001832D68A59501</v>
      </c>
      <c r="E14" s="9" t="str">
        <f aca="false">IF(LEFT(C14,3)="09S",MID(C14,15,5),"")</f>
        <v/>
      </c>
      <c r="F14" s="9" t="n">
        <v>413902</v>
      </c>
      <c r="G14" s="3" t="s">
        <v>328</v>
      </c>
      <c r="H14" s="3" t="str">
        <f aca="false">IFERROR(INDEX(Sistema!$F$2:$F$421,MATCH(D14,Sistema!$G$2:$G$421,0)),"Não encontrado")</f>
        <v>Carrinho 01 ( AZUL)</v>
      </c>
      <c r="I14" s="3" t="str">
        <f aca="false">IFERROR(INDEX(Sistema!$C$2:$C$421,MATCH(D14,Sistema!$G$2:$G$421,0)),"")</f>
        <v>Acer Chromebook 11 N7 (C731, C731T)</v>
      </c>
      <c r="J14" s="9" t="str">
        <f aca="false">IF(LEFT(C14,3)="09S",IFERROR(MID(INDEX(Sistema!$D$2:$D$421,MATCH(D14,Sistema!$G$2:$G$421,0)),15,5),""),"")</f>
        <v/>
      </c>
      <c r="K14" s="9" t="str">
        <f aca="false">IF(H14="Não encontrado","Não encontrado",IF(H14&lt;&gt;A14,"Local diferente",IF(AND(E14&lt;&gt;"",J14&lt;&gt;"",UPPER(E14)&lt;&gt;UPPER(J14)),"Letra final diferente","Confere")))</f>
        <v>Confere</v>
      </c>
      <c r="L14" s="10"/>
      <c r="M14" s="10"/>
    </row>
    <row r="15" customFormat="false" ht="39.55" hidden="false" customHeight="false" outlineLevel="0" collapsed="false">
      <c r="A15" s="3" t="s">
        <v>9</v>
      </c>
      <c r="B15" s="9" t="n">
        <v>12</v>
      </c>
      <c r="C15" s="3" t="s">
        <v>50</v>
      </c>
      <c r="D15" s="3" t="str">
        <f aca="false">IF(LEFT(C15,3)="09S",LEFT(C15,14),C15)</f>
        <v>NXH0HAL001830D20719501</v>
      </c>
      <c r="E15" s="9" t="str">
        <f aca="false">IF(LEFT(C15,3)="09S",MID(C15,15,5),"")</f>
        <v/>
      </c>
      <c r="F15" s="9" t="n">
        <v>413983</v>
      </c>
      <c r="G15" s="3" t="s">
        <v>328</v>
      </c>
      <c r="H15" s="3" t="str">
        <f aca="false">IFERROR(INDEX(Sistema!$F$2:$F$421,MATCH(D15,Sistema!$G$2:$G$421,0)),"Não encontrado")</f>
        <v>Não encontrado</v>
      </c>
      <c r="I15" s="3" t="str">
        <f aca="false">IFERROR(INDEX(Sistema!$C$2:$C$421,MATCH(D15,Sistema!$G$2:$G$421,0)),"")</f>
        <v/>
      </c>
      <c r="J15" s="9" t="str">
        <f aca="false">IF(LEFT(C15,3)="09S",IFERROR(MID(INDEX(Sistema!$D$2:$D$421,MATCH(D15,Sistema!$G$2:$G$421,0)),15,5),""),"")</f>
        <v/>
      </c>
      <c r="K15" s="9" t="str">
        <f aca="false">IF(H15="Não encontrado","Não encontrado",IF(H15&lt;&gt;A15,"Local diferente",IF(AND(E15&lt;&gt;"",J15&lt;&gt;"",UPPER(E15)&lt;&gt;UPPER(J15)),"Letra final diferente","Confere")))</f>
        <v>Não encontrado</v>
      </c>
      <c r="L15" s="10" t="s">
        <v>339</v>
      </c>
      <c r="M15" s="10"/>
    </row>
    <row r="16" customFormat="false" ht="15" hidden="false" customHeight="false" outlineLevel="0" collapsed="false">
      <c r="A16" s="3" t="s">
        <v>9</v>
      </c>
      <c r="B16" s="9" t="n">
        <v>13</v>
      </c>
      <c r="C16" s="3" t="s">
        <v>340</v>
      </c>
      <c r="D16" s="3" t="str">
        <f aca="false">IF(LEFT(C16,3)="09S",LEFT(C16,14),C16)</f>
        <v>NXH0HAL001838E766E9501</v>
      </c>
      <c r="E16" s="9" t="str">
        <f aca="false">IF(LEFT(C16,3)="09S",MID(C16,15,5),"")</f>
        <v/>
      </c>
      <c r="F16" s="9" t="n">
        <v>412369</v>
      </c>
      <c r="G16" s="3" t="s">
        <v>328</v>
      </c>
      <c r="H16" s="3" t="str">
        <f aca="false">IFERROR(INDEX(Sistema!$F$2:$F$421,MATCH(D16,Sistema!$G$2:$G$421,0)),"Não encontrado")</f>
        <v>Carrinho 01 ( AZUL)</v>
      </c>
      <c r="I16" s="3" t="str">
        <f aca="false">IFERROR(INDEX(Sistema!$C$2:$C$421,MATCH(D16,Sistema!$G$2:$G$421,0)),"")</f>
        <v>Acer Chromebook 11 N7 (C731, C731T)</v>
      </c>
      <c r="J16" s="9" t="str">
        <f aca="false">IF(LEFT(C16,3)="09S",IFERROR(MID(INDEX(Sistema!$D$2:$D$421,MATCH(D16,Sistema!$G$2:$G$421,0)),15,5),""),"")</f>
        <v/>
      </c>
      <c r="K16" s="9" t="str">
        <f aca="false">IF(H16="Não encontrado","Não encontrado",IF(H16&lt;&gt;A16,"Local diferente",IF(AND(E16&lt;&gt;"",J16&lt;&gt;"",UPPER(E16)&lt;&gt;UPPER(J16)),"Letra final diferente","Confere")))</f>
        <v>Confere</v>
      </c>
      <c r="L16" s="10"/>
      <c r="M16" s="10"/>
    </row>
    <row r="17" customFormat="false" ht="15" hidden="false" customHeight="false" outlineLevel="0" collapsed="false">
      <c r="A17" s="3" t="s">
        <v>9</v>
      </c>
      <c r="B17" s="9" t="n">
        <v>14</v>
      </c>
      <c r="C17" s="3" t="s">
        <v>341</v>
      </c>
      <c r="D17" s="3" t="str">
        <f aca="false">IF(LEFT(C17,3)="09S",LEFT(C17,14),C17)</f>
        <v>NXH0HAL001832D65BF9501</v>
      </c>
      <c r="E17" s="9" t="str">
        <f aca="false">IF(LEFT(C17,3)="09S",MID(C17,15,5),"")</f>
        <v/>
      </c>
      <c r="F17" s="9" t="n">
        <v>413911</v>
      </c>
      <c r="G17" s="3" t="s">
        <v>328</v>
      </c>
      <c r="H17" s="3" t="str">
        <f aca="false">IFERROR(INDEX(Sistema!$F$2:$F$421,MATCH(D17,Sistema!$G$2:$G$421,0)),"Não encontrado")</f>
        <v>Carrinho 01 ( AZUL)</v>
      </c>
      <c r="I17" s="3" t="str">
        <f aca="false">IFERROR(INDEX(Sistema!$C$2:$C$421,MATCH(D17,Sistema!$G$2:$G$421,0)),"")</f>
        <v>Acer Chromebook 11 N7 (C731, C731T)</v>
      </c>
      <c r="J17" s="9" t="str">
        <f aca="false">IF(LEFT(C17,3)="09S",IFERROR(MID(INDEX(Sistema!$D$2:$D$421,MATCH(D17,Sistema!$G$2:$G$421,0)),15,5),""),"")</f>
        <v/>
      </c>
      <c r="K17" s="9" t="str">
        <f aca="false">IF(H17="Não encontrado","Não encontrado",IF(H17&lt;&gt;A17,"Local diferente",IF(AND(E17&lt;&gt;"",J17&lt;&gt;"",UPPER(E17)&lt;&gt;UPPER(J17)),"Letra final diferente","Confere")))</f>
        <v>Confere</v>
      </c>
      <c r="L17" s="10"/>
      <c r="M17" s="10"/>
    </row>
    <row r="18" customFormat="false" ht="15" hidden="false" customHeight="false" outlineLevel="0" collapsed="false">
      <c r="A18" s="3" t="s">
        <v>9</v>
      </c>
      <c r="B18" s="9" t="n">
        <v>15</v>
      </c>
      <c r="C18" s="3" t="s">
        <v>342</v>
      </c>
      <c r="D18" s="3" t="str">
        <f aca="false">IF(LEFT(C18,3)="09S",LEFT(C18,14),C18)</f>
        <v>NXH0HAL001832D65439501</v>
      </c>
      <c r="E18" s="9" t="str">
        <f aca="false">IF(LEFT(C18,3)="09S",MID(C18,15,5),"")</f>
        <v/>
      </c>
      <c r="F18" s="9" t="n">
        <v>413900</v>
      </c>
      <c r="G18" s="3" t="s">
        <v>328</v>
      </c>
      <c r="H18" s="3" t="str">
        <f aca="false">IFERROR(INDEX(Sistema!$F$2:$F$421,MATCH(D18,Sistema!$G$2:$G$421,0)),"Não encontrado")</f>
        <v>Carrinho 01 ( AZUL)</v>
      </c>
      <c r="I18" s="3" t="str">
        <f aca="false">IFERROR(INDEX(Sistema!$C$2:$C$421,MATCH(D18,Sistema!$G$2:$G$421,0)),"")</f>
        <v>Acer Chromebook 11 N7 (C731, C731T)</v>
      </c>
      <c r="J18" s="9" t="str">
        <f aca="false">IF(LEFT(C18,3)="09S",IFERROR(MID(INDEX(Sistema!$D$2:$D$421,MATCH(D18,Sistema!$G$2:$G$421,0)),15,5),""),"")</f>
        <v/>
      </c>
      <c r="K18" s="9" t="str">
        <f aca="false">IF(H18="Não encontrado","Não encontrado",IF(H18&lt;&gt;A18,"Local diferente",IF(AND(E18&lt;&gt;"",J18&lt;&gt;"",UPPER(E18)&lt;&gt;UPPER(J18)),"Letra final diferente","Confere")))</f>
        <v>Confere</v>
      </c>
      <c r="L18" s="10"/>
      <c r="M18" s="10"/>
    </row>
    <row r="19" customFormat="false" ht="15" hidden="false" customHeight="false" outlineLevel="0" collapsed="false">
      <c r="A19" s="3" t="s">
        <v>9</v>
      </c>
      <c r="B19" s="9" t="n">
        <v>16</v>
      </c>
      <c r="C19" s="3" t="s">
        <v>343</v>
      </c>
      <c r="D19" s="3" t="str">
        <f aca="false">IF(LEFT(C19,3)="09S",LEFT(C19,14),C19)</f>
        <v>NXH0HAL001832D58349501</v>
      </c>
      <c r="E19" s="9" t="str">
        <f aca="false">IF(LEFT(C19,3)="09S",MID(C19,15,5),"")</f>
        <v/>
      </c>
      <c r="F19" s="9" t="n">
        <v>413961</v>
      </c>
      <c r="G19" s="3" t="s">
        <v>328</v>
      </c>
      <c r="H19" s="3" t="str">
        <f aca="false">IFERROR(INDEX(Sistema!$F$2:$F$421,MATCH(D19,Sistema!$G$2:$G$421,0)),"Não encontrado")</f>
        <v>Carrinho 01 ( AZUL)</v>
      </c>
      <c r="I19" s="3" t="str">
        <f aca="false">IFERROR(INDEX(Sistema!$C$2:$C$421,MATCH(D19,Sistema!$G$2:$G$421,0)),"")</f>
        <v>Acer Chromebook 11 N7 (C731, C731T)</v>
      </c>
      <c r="J19" s="9" t="str">
        <f aca="false">IF(LEFT(C19,3)="09S",IFERROR(MID(INDEX(Sistema!$D$2:$D$421,MATCH(D19,Sistema!$G$2:$G$421,0)),15,5),""),"")</f>
        <v/>
      </c>
      <c r="K19" s="9" t="str">
        <f aca="false">IF(H19="Não encontrado","Não encontrado",IF(H19&lt;&gt;A19,"Local diferente",IF(AND(E19&lt;&gt;"",J19&lt;&gt;"",UPPER(E19)&lt;&gt;UPPER(J19)),"Letra final diferente","Confere")))</f>
        <v>Confere</v>
      </c>
      <c r="L19" s="10"/>
      <c r="M19" s="10"/>
    </row>
    <row r="20" customFormat="false" ht="15" hidden="false" customHeight="false" outlineLevel="0" collapsed="false">
      <c r="A20" s="3" t="s">
        <v>9</v>
      </c>
      <c r="B20" s="9" t="n">
        <v>17</v>
      </c>
      <c r="C20" s="3" t="s">
        <v>344</v>
      </c>
      <c r="D20" s="3" t="str">
        <f aca="false">IF(LEFT(C20,3)="09S",LEFT(C20,14),C20)</f>
        <v>NXH0HAL001832D61879501</v>
      </c>
      <c r="E20" s="9" t="str">
        <f aca="false">IF(LEFT(C20,3)="09S",MID(C20,15,5),"")</f>
        <v/>
      </c>
      <c r="F20" s="9" t="n">
        <v>413917</v>
      </c>
      <c r="G20" s="3" t="s">
        <v>328</v>
      </c>
      <c r="H20" s="3" t="str">
        <f aca="false">IFERROR(INDEX(Sistema!$F$2:$F$421,MATCH(D20,Sistema!$G$2:$G$421,0)),"Não encontrado")</f>
        <v>Carrinho 01 ( AZUL)</v>
      </c>
      <c r="I20" s="3" t="str">
        <f aca="false">IFERROR(INDEX(Sistema!$C$2:$C$421,MATCH(D20,Sistema!$G$2:$G$421,0)),"")</f>
        <v>Acer Chromebook 11 N7 (C731, C731T)</v>
      </c>
      <c r="J20" s="9" t="str">
        <f aca="false">IF(LEFT(C20,3)="09S",IFERROR(MID(INDEX(Sistema!$D$2:$D$421,MATCH(D20,Sistema!$G$2:$G$421,0)),15,5),""),"")</f>
        <v/>
      </c>
      <c r="K20" s="9" t="str">
        <f aca="false">IF(H20="Não encontrado","Não encontrado",IF(H20&lt;&gt;A20,"Local diferente",IF(AND(E20&lt;&gt;"",J20&lt;&gt;"",UPPER(E20)&lt;&gt;UPPER(J20)),"Letra final diferente","Confere")))</f>
        <v>Confere</v>
      </c>
      <c r="L20" s="10"/>
      <c r="M20" s="10"/>
    </row>
    <row r="21" customFormat="false" ht="15" hidden="false" customHeight="false" outlineLevel="0" collapsed="false">
      <c r="A21" s="3" t="s">
        <v>9</v>
      </c>
      <c r="B21" s="9" t="n">
        <v>18</v>
      </c>
      <c r="C21" s="3" t="s">
        <v>345</v>
      </c>
      <c r="D21" s="3" t="str">
        <f aca="false">IF(LEFT(C21,3)="09S",LEFT(C21,14),C21)</f>
        <v>NXH0HAL001830D20939501</v>
      </c>
      <c r="E21" s="9" t="str">
        <f aca="false">IF(LEFT(C21,3)="09S",MID(C21,15,5),"")</f>
        <v/>
      </c>
      <c r="F21" s="9" t="n">
        <v>413966</v>
      </c>
      <c r="G21" s="3" t="s">
        <v>328</v>
      </c>
      <c r="H21" s="3" t="str">
        <f aca="false">IFERROR(INDEX(Sistema!$F$2:$F$421,MATCH(D21,Sistema!$G$2:$G$421,0)),"Não encontrado")</f>
        <v>Carrinho 01 ( AZUL)</v>
      </c>
      <c r="I21" s="3" t="str">
        <f aca="false">IFERROR(INDEX(Sistema!$C$2:$C$421,MATCH(D21,Sistema!$G$2:$G$421,0)),"")</f>
        <v>Acer Chromebook 11 N7 (C731, C731T)</v>
      </c>
      <c r="J21" s="9" t="str">
        <f aca="false">IF(LEFT(C21,3)="09S",IFERROR(MID(INDEX(Sistema!$D$2:$D$421,MATCH(D21,Sistema!$G$2:$G$421,0)),15,5),""),"")</f>
        <v/>
      </c>
      <c r="K21" s="9" t="str">
        <f aca="false">IF(H21="Não encontrado","Não encontrado",IF(H21&lt;&gt;A21,"Local diferente",IF(AND(E21&lt;&gt;"",J21&lt;&gt;"",UPPER(E21)&lt;&gt;UPPER(J21)),"Letra final diferente","Confere")))</f>
        <v>Confere</v>
      </c>
      <c r="L21" s="10"/>
      <c r="M21" s="10"/>
    </row>
    <row r="22" customFormat="false" ht="15" hidden="false" customHeight="false" outlineLevel="0" collapsed="false">
      <c r="A22" s="3" t="s">
        <v>9</v>
      </c>
      <c r="B22" s="9" t="n">
        <v>19</v>
      </c>
      <c r="C22" s="3" t="s">
        <v>346</v>
      </c>
      <c r="D22" s="3" t="str">
        <f aca="false">IF(LEFT(C22,3)="09S",LEFT(C22,14),C22)</f>
        <v>NXH0HAL001839ED5D19501</v>
      </c>
      <c r="E22" s="9" t="str">
        <f aca="false">IF(LEFT(C22,3)="09S",MID(C22,15,5),"")</f>
        <v/>
      </c>
      <c r="F22" s="9" t="n">
        <v>413975</v>
      </c>
      <c r="G22" s="3" t="s">
        <v>328</v>
      </c>
      <c r="H22" s="3" t="str">
        <f aca="false">IFERROR(INDEX(Sistema!$F$2:$F$421,MATCH(D22,Sistema!$G$2:$G$421,0)),"Não encontrado")</f>
        <v>Carrinho 01 ( AZUL)</v>
      </c>
      <c r="I22" s="3" t="str">
        <f aca="false">IFERROR(INDEX(Sistema!$C$2:$C$421,MATCH(D22,Sistema!$G$2:$G$421,0)),"")</f>
        <v>Acer Chromebook 11 N7 (C731, C731T)</v>
      </c>
      <c r="J22" s="9" t="str">
        <f aca="false">IF(LEFT(C22,3)="09S",IFERROR(MID(INDEX(Sistema!$D$2:$D$421,MATCH(D22,Sistema!$G$2:$G$421,0)),15,5),""),"")</f>
        <v/>
      </c>
      <c r="K22" s="9" t="str">
        <f aca="false">IF(H22="Não encontrado","Não encontrado",IF(H22&lt;&gt;A22,"Local diferente",IF(AND(E22&lt;&gt;"",J22&lt;&gt;"",UPPER(E22)&lt;&gt;UPPER(J22)),"Letra final diferente","Confere")))</f>
        <v>Confere</v>
      </c>
      <c r="L22" s="10"/>
      <c r="M22" s="10"/>
    </row>
    <row r="23" customFormat="false" ht="39.55" hidden="false" customHeight="false" outlineLevel="0" collapsed="false">
      <c r="A23" s="3" t="s">
        <v>9</v>
      </c>
      <c r="B23" s="9" t="n">
        <v>20</v>
      </c>
      <c r="C23" s="3" t="s">
        <v>56</v>
      </c>
      <c r="D23" s="3" t="str">
        <f aca="false">IF(LEFT(C23,3)="09S",LEFT(C23,14),C23)</f>
        <v>NXH0HAL001832DD66639501</v>
      </c>
      <c r="E23" s="9" t="str">
        <f aca="false">IF(LEFT(C23,3)="09S",MID(C23,15,5),"")</f>
        <v/>
      </c>
      <c r="F23" s="9" t="n">
        <v>413913</v>
      </c>
      <c r="G23" s="3" t="s">
        <v>328</v>
      </c>
      <c r="H23" s="3" t="str">
        <f aca="false">IFERROR(INDEX(Sistema!$F$2:$F$421,MATCH(D23,Sistema!$G$2:$G$421,0)),"Não encontrado")</f>
        <v>Não encontrado</v>
      </c>
      <c r="I23" s="3" t="str">
        <f aca="false">IFERROR(INDEX(Sistema!$C$2:$C$421,MATCH(D23,Sistema!$G$2:$G$421,0)),"")</f>
        <v/>
      </c>
      <c r="J23" s="9" t="str">
        <f aca="false">IF(LEFT(C23,3)="09S",IFERROR(MID(INDEX(Sistema!$D$2:$D$421,MATCH(D23,Sistema!$G$2:$G$421,0)),15,5),""),"")</f>
        <v/>
      </c>
      <c r="K23" s="9" t="str">
        <f aca="false">IF(H23="Não encontrado","Não encontrado",IF(H23&lt;&gt;A23,"Local diferente",IF(AND(E23&lt;&gt;"",J23&lt;&gt;"",UPPER(E23)&lt;&gt;UPPER(J23)),"Letra final diferente","Confere")))</f>
        <v>Não encontrado</v>
      </c>
      <c r="L23" s="10" t="s">
        <v>347</v>
      </c>
      <c r="M23" s="10"/>
    </row>
    <row r="24" customFormat="false" ht="15" hidden="false" customHeight="false" outlineLevel="0" collapsed="false">
      <c r="A24" s="3" t="s">
        <v>9</v>
      </c>
      <c r="B24" s="9" t="n">
        <v>21</v>
      </c>
      <c r="C24" s="3" t="s">
        <v>348</v>
      </c>
      <c r="D24" s="3" t="str">
        <f aca="false">IF(LEFT(C24,3)="09S",LEFT(C24,14),C24)</f>
        <v>NXH0HAL001830D1F729501</v>
      </c>
      <c r="E24" s="9" t="str">
        <f aca="false">IF(LEFT(C24,3)="09S",MID(C24,15,5),"")</f>
        <v/>
      </c>
      <c r="F24" s="9" t="n">
        <v>414349</v>
      </c>
      <c r="G24" s="3" t="s">
        <v>328</v>
      </c>
      <c r="H24" s="3" t="str">
        <f aca="false">IFERROR(INDEX(Sistema!$F$2:$F$421,MATCH(D24,Sistema!$G$2:$G$421,0)),"Não encontrado")</f>
        <v>Carrinho 01 ( AZUL)</v>
      </c>
      <c r="I24" s="3" t="str">
        <f aca="false">IFERROR(INDEX(Sistema!$C$2:$C$421,MATCH(D24,Sistema!$G$2:$G$421,0)),"")</f>
        <v>Acer Chromebook 11 N7 (C731, C731T)</v>
      </c>
      <c r="J24" s="9" t="str">
        <f aca="false">IF(LEFT(C24,3)="09S",IFERROR(MID(INDEX(Sistema!$D$2:$D$421,MATCH(D24,Sistema!$G$2:$G$421,0)),15,5),""),"")</f>
        <v/>
      </c>
      <c r="K24" s="9" t="str">
        <f aca="false">IF(H24="Não encontrado","Não encontrado",IF(H24&lt;&gt;A24,"Local diferente",IF(AND(E24&lt;&gt;"",J24&lt;&gt;"",UPPER(E24)&lt;&gt;UPPER(J24)),"Letra final diferente","Confere")))</f>
        <v>Confere</v>
      </c>
      <c r="L24" s="10"/>
      <c r="M24" s="10"/>
    </row>
    <row r="25" customFormat="false" ht="15" hidden="false" customHeight="false" outlineLevel="0" collapsed="false">
      <c r="A25" s="3" t="s">
        <v>9</v>
      </c>
      <c r="B25" s="9" t="n">
        <v>22</v>
      </c>
      <c r="C25" s="3" t="s">
        <v>349</v>
      </c>
      <c r="D25" s="3" t="str">
        <f aca="false">IF(LEFT(C25,3)="09S",LEFT(C25,14),C25)</f>
        <v>NXH0HAL001830D1F749501</v>
      </c>
      <c r="E25" s="9" t="str">
        <f aca="false">IF(LEFT(C25,3)="09S",MID(C25,15,5),"")</f>
        <v/>
      </c>
      <c r="F25" s="9" t="n">
        <v>414368</v>
      </c>
      <c r="G25" s="3" t="s">
        <v>328</v>
      </c>
      <c r="H25" s="3" t="str">
        <f aca="false">IFERROR(INDEX(Sistema!$F$2:$F$421,MATCH(D25,Sistema!$G$2:$G$421,0)),"Não encontrado")</f>
        <v>Carrinho 01 ( AZUL)</v>
      </c>
      <c r="I25" s="3" t="str">
        <f aca="false">IFERROR(INDEX(Sistema!$C$2:$C$421,MATCH(D25,Sistema!$G$2:$G$421,0)),"")</f>
        <v>Acer Chromebook 11 N7 (C731, C731T)</v>
      </c>
      <c r="J25" s="9" t="str">
        <f aca="false">IF(LEFT(C25,3)="09S",IFERROR(MID(INDEX(Sistema!$D$2:$D$421,MATCH(D25,Sistema!$G$2:$G$421,0)),15,5),""),"")</f>
        <v/>
      </c>
      <c r="K25" s="9" t="str">
        <f aca="false">IF(H25="Não encontrado","Não encontrado",IF(H25&lt;&gt;A25,"Local diferente",IF(AND(E25&lt;&gt;"",J25&lt;&gt;"",UPPER(E25)&lt;&gt;UPPER(J25)),"Letra final diferente","Confere")))</f>
        <v>Confere</v>
      </c>
      <c r="L25" s="10"/>
      <c r="M25" s="10"/>
    </row>
    <row r="26" customFormat="false" ht="15" hidden="false" customHeight="false" outlineLevel="0" collapsed="false">
      <c r="A26" s="3" t="s">
        <v>9</v>
      </c>
      <c r="B26" s="9" t="n">
        <v>23</v>
      </c>
      <c r="C26" s="3" t="s">
        <v>350</v>
      </c>
      <c r="D26" s="3" t="str">
        <f aca="false">IF(LEFT(C26,3)="09S",LEFT(C26,14),C26)</f>
        <v>NXH0HAL001830D1F949501</v>
      </c>
      <c r="E26" s="9" t="str">
        <f aca="false">IF(LEFT(C26,3)="09S",MID(C26,15,5),"")</f>
        <v/>
      </c>
      <c r="F26" s="9" t="n">
        <v>414469</v>
      </c>
      <c r="G26" s="3" t="s">
        <v>328</v>
      </c>
      <c r="H26" s="3" t="str">
        <f aca="false">IFERROR(INDEX(Sistema!$F$2:$F$421,MATCH(D26,Sistema!$G$2:$G$421,0)),"Não encontrado")</f>
        <v>Carrinho 01 ( AZUL)</v>
      </c>
      <c r="I26" s="3" t="str">
        <f aca="false">IFERROR(INDEX(Sistema!$C$2:$C$421,MATCH(D26,Sistema!$G$2:$G$421,0)),"")</f>
        <v>Acer Chromebook 11 N7 (C731, C731T)</v>
      </c>
      <c r="J26" s="9" t="str">
        <f aca="false">IF(LEFT(C26,3)="09S",IFERROR(MID(INDEX(Sistema!$D$2:$D$421,MATCH(D26,Sistema!$G$2:$G$421,0)),15,5),""),"")</f>
        <v/>
      </c>
      <c r="K26" s="9" t="str">
        <f aca="false">IF(H26="Não encontrado","Não encontrado",IF(H26&lt;&gt;A26,"Local diferente",IF(AND(E26&lt;&gt;"",J26&lt;&gt;"",UPPER(E26)&lt;&gt;UPPER(J26)),"Letra final diferente","Confere")))</f>
        <v>Confere</v>
      </c>
      <c r="L26" s="10"/>
      <c r="M26" s="10"/>
    </row>
    <row r="27" customFormat="false" ht="15" hidden="false" customHeight="false" outlineLevel="0" collapsed="false">
      <c r="A27" s="3" t="s">
        <v>9</v>
      </c>
      <c r="B27" s="9" t="n">
        <v>24</v>
      </c>
      <c r="C27" s="3" t="s">
        <v>351</v>
      </c>
      <c r="D27" s="3" t="str">
        <f aca="false">IF(LEFT(C27,3)="09S",LEFT(C27,14),C27)</f>
        <v>NXH0HAL001832D5B8F9501</v>
      </c>
      <c r="E27" s="9" t="str">
        <f aca="false">IF(LEFT(C27,3)="09S",MID(C27,15,5),"")</f>
        <v/>
      </c>
      <c r="F27" s="9" t="n">
        <v>413955</v>
      </c>
      <c r="G27" s="3" t="s">
        <v>328</v>
      </c>
      <c r="H27" s="3" t="str">
        <f aca="false">IFERROR(INDEX(Sistema!$F$2:$F$421,MATCH(D27,Sistema!$G$2:$G$421,0)),"Não encontrado")</f>
        <v>Carrinho 01 ( AZUL)</v>
      </c>
      <c r="I27" s="3" t="str">
        <f aca="false">IFERROR(INDEX(Sistema!$C$2:$C$421,MATCH(D27,Sistema!$G$2:$G$421,0)),"")</f>
        <v>Acer Chromebook 11 N7 (C731, C731T)</v>
      </c>
      <c r="J27" s="9" t="str">
        <f aca="false">IF(LEFT(C27,3)="09S",IFERROR(MID(INDEX(Sistema!$D$2:$D$421,MATCH(D27,Sistema!$G$2:$G$421,0)),15,5),""),"")</f>
        <v/>
      </c>
      <c r="K27" s="9" t="str">
        <f aca="false">IF(H27="Não encontrado","Não encontrado",IF(H27&lt;&gt;A27,"Local diferente",IF(AND(E27&lt;&gt;"",J27&lt;&gt;"",UPPER(E27)&lt;&gt;UPPER(J27)),"Letra final diferente","Confere")))</f>
        <v>Confere</v>
      </c>
      <c r="L27" s="10"/>
      <c r="M27" s="10"/>
    </row>
    <row r="28" customFormat="false" ht="15" hidden="false" customHeight="false" outlineLevel="0" collapsed="false">
      <c r="A28" s="3" t="s">
        <v>9</v>
      </c>
      <c r="B28" s="9" t="n">
        <v>25</v>
      </c>
      <c r="C28" s="3" t="s">
        <v>352</v>
      </c>
      <c r="D28" s="3" t="str">
        <f aca="false">IF(LEFT(C28,3)="09S",LEFT(C28,14),C28)</f>
        <v>NXH0HAL001832D687D9501</v>
      </c>
      <c r="E28" s="9" t="str">
        <f aca="false">IF(LEFT(C28,3)="09S",MID(C28,15,5),"")</f>
        <v/>
      </c>
      <c r="F28" s="9" t="n">
        <v>413921</v>
      </c>
      <c r="G28" s="3" t="s">
        <v>328</v>
      </c>
      <c r="H28" s="3" t="str">
        <f aca="false">IFERROR(INDEX(Sistema!$F$2:$F$421,MATCH(D28,Sistema!$G$2:$G$421,0)),"Não encontrado")</f>
        <v>Carrinho 01 ( AZUL)</v>
      </c>
      <c r="I28" s="3" t="str">
        <f aca="false">IFERROR(INDEX(Sistema!$C$2:$C$421,MATCH(D28,Sistema!$G$2:$G$421,0)),"")</f>
        <v>Acer Chromebook 11 N7 (C731, C731T)</v>
      </c>
      <c r="J28" s="9" t="str">
        <f aca="false">IF(LEFT(C28,3)="09S",IFERROR(MID(INDEX(Sistema!$D$2:$D$421,MATCH(D28,Sistema!$G$2:$G$421,0)),15,5),""),"")</f>
        <v/>
      </c>
      <c r="K28" s="9" t="str">
        <f aca="false">IF(H28="Não encontrado","Não encontrado",IF(H28&lt;&gt;A28,"Local diferente",IF(AND(E28&lt;&gt;"",J28&lt;&gt;"",UPPER(E28)&lt;&gt;UPPER(J28)),"Letra final diferente","Confere")))</f>
        <v>Confere</v>
      </c>
      <c r="L28" s="10"/>
      <c r="M28" s="10"/>
    </row>
    <row r="29" customFormat="false" ht="15" hidden="false" customHeight="false" outlineLevel="0" collapsed="false">
      <c r="A29" s="3" t="s">
        <v>9</v>
      </c>
      <c r="B29" s="9" t="n">
        <v>26</v>
      </c>
      <c r="C29" s="3" t="s">
        <v>353</v>
      </c>
      <c r="D29" s="3" t="str">
        <f aca="false">IF(LEFT(C29,3)="09S",LEFT(C29,14),C29)</f>
        <v>NXH0HAL001830D1BEA9501</v>
      </c>
      <c r="E29" s="9" t="str">
        <f aca="false">IF(LEFT(C29,3)="09S",MID(C29,15,5),"")</f>
        <v/>
      </c>
      <c r="F29" s="9" t="n">
        <v>414534</v>
      </c>
      <c r="G29" s="3" t="s">
        <v>328</v>
      </c>
      <c r="H29" s="3" t="str">
        <f aca="false">IFERROR(INDEX(Sistema!$F$2:$F$421,MATCH(D29,Sistema!$G$2:$G$421,0)),"Não encontrado")</f>
        <v>Carrinho 01 ( AZUL)</v>
      </c>
      <c r="I29" s="3" t="str">
        <f aca="false">IFERROR(INDEX(Sistema!$C$2:$C$421,MATCH(D29,Sistema!$G$2:$G$421,0)),"")</f>
        <v>Acer Chromebook 11 N7 (C731, C731T)</v>
      </c>
      <c r="J29" s="9" t="str">
        <f aca="false">IF(LEFT(C29,3)="09S",IFERROR(MID(INDEX(Sistema!$D$2:$D$421,MATCH(D29,Sistema!$G$2:$G$421,0)),15,5),""),"")</f>
        <v/>
      </c>
      <c r="K29" s="9" t="str">
        <f aca="false">IF(H29="Não encontrado","Não encontrado",IF(H29&lt;&gt;A29,"Local diferente",IF(AND(E29&lt;&gt;"",J29&lt;&gt;"",UPPER(E29)&lt;&gt;UPPER(J29)),"Letra final diferente","Confere")))</f>
        <v>Confere</v>
      </c>
      <c r="L29" s="10"/>
      <c r="M29" s="10"/>
    </row>
    <row r="30" customFormat="false" ht="15" hidden="false" customHeight="false" outlineLevel="0" collapsed="false">
      <c r="A30" s="3" t="s">
        <v>9</v>
      </c>
      <c r="B30" s="9" t="n">
        <v>27</v>
      </c>
      <c r="C30" s="3" t="s">
        <v>354</v>
      </c>
      <c r="D30" s="3" t="str">
        <f aca="false">IF(LEFT(C30,3)="09S",LEFT(C30,14),C30)</f>
        <v>NXH0HAL001832D65B89501</v>
      </c>
      <c r="E30" s="9" t="str">
        <f aca="false">IF(LEFT(C30,3)="09S",MID(C30,15,5),"")</f>
        <v/>
      </c>
      <c r="F30" s="9" t="n">
        <v>413877</v>
      </c>
      <c r="G30" s="3" t="s">
        <v>328</v>
      </c>
      <c r="H30" s="3" t="str">
        <f aca="false">IFERROR(INDEX(Sistema!$F$2:$F$421,MATCH(D30,Sistema!$G$2:$G$421,0)),"Não encontrado")</f>
        <v>Carrinho 01 ( AZUL)</v>
      </c>
      <c r="I30" s="3" t="str">
        <f aca="false">IFERROR(INDEX(Sistema!$C$2:$C$421,MATCH(D30,Sistema!$G$2:$G$421,0)),"")</f>
        <v>Acer Chromebook 11 N7 (C731, C731T)</v>
      </c>
      <c r="J30" s="9" t="str">
        <f aca="false">IF(LEFT(C30,3)="09S",IFERROR(MID(INDEX(Sistema!$D$2:$D$421,MATCH(D30,Sistema!$G$2:$G$421,0)),15,5),""),"")</f>
        <v/>
      </c>
      <c r="K30" s="9" t="str">
        <f aca="false">IF(H30="Não encontrado","Não encontrado",IF(H30&lt;&gt;A30,"Local diferente",IF(AND(E30&lt;&gt;"",J30&lt;&gt;"",UPPER(E30)&lt;&gt;UPPER(J30)),"Letra final diferente","Confere")))</f>
        <v>Confere</v>
      </c>
      <c r="L30" s="10"/>
      <c r="M30" s="10"/>
    </row>
    <row r="31" customFormat="false" ht="15" hidden="false" customHeight="false" outlineLevel="0" collapsed="false">
      <c r="A31" s="3" t="s">
        <v>9</v>
      </c>
      <c r="B31" s="9" t="n">
        <v>28</v>
      </c>
      <c r="C31" s="3" t="s">
        <v>355</v>
      </c>
      <c r="D31" s="3" t="str">
        <f aca="false">IF(LEFT(C31,3)="09S",LEFT(C31,14),C31)</f>
        <v>NXH0HAL0018481FB349501</v>
      </c>
      <c r="E31" s="9" t="str">
        <f aca="false">IF(LEFT(C31,3)="09S",MID(C31,15,5),"")</f>
        <v/>
      </c>
      <c r="F31" s="9" t="n">
        <v>413813</v>
      </c>
      <c r="G31" s="3" t="s">
        <v>328</v>
      </c>
      <c r="H31" s="3" t="str">
        <f aca="false">IFERROR(INDEX(Sistema!$F$2:$F$421,MATCH(D31,Sistema!$G$2:$G$421,0)),"Não encontrado")</f>
        <v>Carrinho 01 ( AZUL)</v>
      </c>
      <c r="I31" s="3" t="str">
        <f aca="false">IFERROR(INDEX(Sistema!$C$2:$C$421,MATCH(D31,Sistema!$G$2:$G$421,0)),"")</f>
        <v>Acer Chromebook 11 N7 (C731, C731T)</v>
      </c>
      <c r="J31" s="9" t="str">
        <f aca="false">IF(LEFT(C31,3)="09S",IFERROR(MID(INDEX(Sistema!$D$2:$D$421,MATCH(D31,Sistema!$G$2:$G$421,0)),15,5),""),"")</f>
        <v/>
      </c>
      <c r="K31" s="9" t="str">
        <f aca="false">IF(H31="Não encontrado","Não encontrado",IF(H31&lt;&gt;A31,"Local diferente",IF(AND(E31&lt;&gt;"",J31&lt;&gt;"",UPPER(E31)&lt;&gt;UPPER(J31)),"Letra final diferente","Confere")))</f>
        <v>Confere</v>
      </c>
      <c r="L31" s="10"/>
      <c r="M31" s="10"/>
    </row>
    <row r="32" customFormat="false" ht="15" hidden="false" customHeight="false" outlineLevel="0" collapsed="false">
      <c r="A32" s="3" t="s">
        <v>10</v>
      </c>
      <c r="B32" s="9" t="n">
        <v>1</v>
      </c>
      <c r="C32" s="3" t="s">
        <v>356</v>
      </c>
      <c r="D32" s="3" t="str">
        <f aca="false">IF(LEFT(C32,3)="09S",LEFT(C32,14),C32)</f>
        <v>NXH0HAL001832D67269501</v>
      </c>
      <c r="E32" s="9" t="str">
        <f aca="false">IF(LEFT(C32,3)="09S",MID(C32,15,5),"")</f>
        <v/>
      </c>
      <c r="F32" s="9" t="n">
        <v>413919</v>
      </c>
      <c r="G32" s="3" t="s">
        <v>328</v>
      </c>
      <c r="H32" s="3" t="str">
        <f aca="false">IFERROR(INDEX(Sistema!$F$2:$F$421,MATCH(D32,Sistema!$G$2:$G$421,0)),"Não encontrado")</f>
        <v>Carrinho 02 ( AMARELO)</v>
      </c>
      <c r="I32" s="3" t="str">
        <f aca="false">IFERROR(INDEX(Sistema!$C$2:$C$421,MATCH(D32,Sistema!$G$2:$G$421,0)),"")</f>
        <v>Acer Chromebook 11 N7 (C731, C731T)</v>
      </c>
      <c r="J32" s="9" t="str">
        <f aca="false">IF(LEFT(C32,3)="09S",IFERROR(MID(INDEX(Sistema!$D$2:$D$421,MATCH(D32,Sistema!$G$2:$G$421,0)),15,5),""),"")</f>
        <v/>
      </c>
      <c r="K32" s="9" t="str">
        <f aca="false">IF(H32="Não encontrado","Não encontrado",IF(H32&lt;&gt;A32,"Local diferente",IF(AND(E32&lt;&gt;"",J32&lt;&gt;"",UPPER(E32)&lt;&gt;UPPER(J32)),"Letra final diferente","Confere")))</f>
        <v>Confere</v>
      </c>
      <c r="L32" s="10"/>
      <c r="M32" s="10"/>
    </row>
    <row r="33" customFormat="false" ht="26.85" hidden="false" customHeight="false" outlineLevel="0" collapsed="false">
      <c r="A33" s="3" t="s">
        <v>10</v>
      </c>
      <c r="B33" s="9" t="n">
        <v>2</v>
      </c>
      <c r="C33" s="3" t="s">
        <v>357</v>
      </c>
      <c r="D33" s="3" t="str">
        <f aca="false">IF(LEFT(C33,3)="09S",LEFT(C33,14),C33)</f>
        <v>NXH0HAL001832D5D789501</v>
      </c>
      <c r="E33" s="9" t="str">
        <f aca="false">IF(LEFT(C33,3)="09S",MID(C33,15,5),"")</f>
        <v/>
      </c>
      <c r="F33" s="9" t="n">
        <v>415295</v>
      </c>
      <c r="G33" s="3" t="s">
        <v>328</v>
      </c>
      <c r="H33" s="3" t="str">
        <f aca="false">IFERROR(INDEX(Sistema!$F$2:$F$421,MATCH(D33,Sistema!$G$2:$G$421,0)),"Não encontrado")</f>
        <v>Carrinho 02 ( AMARELO)</v>
      </c>
      <c r="I33" s="3" t="str">
        <f aca="false">IFERROR(INDEX(Sistema!$C$2:$C$421,MATCH(D33,Sistema!$G$2:$G$421,0)),"")</f>
        <v>Acer Chromebook 11 N7 (C731, C731T)</v>
      </c>
      <c r="J33" s="9" t="str">
        <f aca="false">IF(LEFT(C33,3)="09S",IFERROR(MID(INDEX(Sistema!$D$2:$D$421,MATCH(D33,Sistema!$G$2:$G$421,0)),15,5),""),"")</f>
        <v/>
      </c>
      <c r="K33" s="9" t="str">
        <f aca="false">IF(H33="Não encontrado","Não encontrado",IF(H33&lt;&gt;A33,"Local diferente",IF(AND(E33&lt;&gt;"",J33&lt;&gt;"",UPPER(E33)&lt;&gt;UPPER(J33)),"Letra final diferente","Confere")))</f>
        <v>Confere</v>
      </c>
      <c r="L33" s="10"/>
      <c r="M33" s="10" t="s">
        <v>358</v>
      </c>
    </row>
    <row r="34" customFormat="false" ht="15" hidden="false" customHeight="false" outlineLevel="0" collapsed="false">
      <c r="A34" s="3" t="s">
        <v>10</v>
      </c>
      <c r="B34" s="9" t="n">
        <v>3</v>
      </c>
      <c r="C34" s="3" t="s">
        <v>359</v>
      </c>
      <c r="D34" s="3" t="str">
        <f aca="false">IF(LEFT(C34,3)="09S",LEFT(C34,14),C34)</f>
        <v>NXH0HAL001832D66CA9501</v>
      </c>
      <c r="E34" s="9" t="str">
        <f aca="false">IF(LEFT(C34,3)="09S",MID(C34,15,5),"")</f>
        <v/>
      </c>
      <c r="F34" s="9" t="n">
        <v>413923</v>
      </c>
      <c r="G34" s="3" t="s">
        <v>328</v>
      </c>
      <c r="H34" s="3" t="str">
        <f aca="false">IFERROR(INDEX(Sistema!$F$2:$F$421,MATCH(D34,Sistema!$G$2:$G$421,0)),"Não encontrado")</f>
        <v>Carrinho 02 ( AMARELO)</v>
      </c>
      <c r="I34" s="3" t="str">
        <f aca="false">IFERROR(INDEX(Sistema!$C$2:$C$421,MATCH(D34,Sistema!$G$2:$G$421,0)),"")</f>
        <v>Acer Chromebook 11 N7 (C731, C731T)</v>
      </c>
      <c r="J34" s="9" t="str">
        <f aca="false">IF(LEFT(C34,3)="09S",IFERROR(MID(INDEX(Sistema!$D$2:$D$421,MATCH(D34,Sistema!$G$2:$G$421,0)),15,5),""),"")</f>
        <v/>
      </c>
      <c r="K34" s="9" t="str">
        <f aca="false">IF(H34="Não encontrado","Não encontrado",IF(H34&lt;&gt;A34,"Local diferente",IF(AND(E34&lt;&gt;"",J34&lt;&gt;"",UPPER(E34)&lt;&gt;UPPER(J34)),"Letra final diferente","Confere")))</f>
        <v>Confere</v>
      </c>
      <c r="L34" s="10"/>
      <c r="M34" s="10"/>
    </row>
    <row r="35" customFormat="false" ht="15" hidden="false" customHeight="false" outlineLevel="0" collapsed="false">
      <c r="A35" s="3" t="s">
        <v>10</v>
      </c>
      <c r="B35" s="9" t="n">
        <v>4</v>
      </c>
      <c r="C35" s="3" t="s">
        <v>360</v>
      </c>
      <c r="D35" s="3" t="str">
        <f aca="false">IF(LEFT(C35,3)="09S",LEFT(C35,14),C35)</f>
        <v>NXH0HAL001832D6B599501</v>
      </c>
      <c r="E35" s="9" t="str">
        <f aca="false">IF(LEFT(C35,3)="09S",MID(C35,15,5),"")</f>
        <v/>
      </c>
      <c r="F35" s="9" t="n">
        <v>413944</v>
      </c>
      <c r="G35" s="3" t="s">
        <v>328</v>
      </c>
      <c r="H35" s="3" t="str">
        <f aca="false">IFERROR(INDEX(Sistema!$F$2:$F$421,MATCH(D35,Sistema!$G$2:$G$421,0)),"Não encontrado")</f>
        <v>Carrinho 02 ( AMARELO)</v>
      </c>
      <c r="I35" s="3" t="str">
        <f aca="false">IFERROR(INDEX(Sistema!$C$2:$C$421,MATCH(D35,Sistema!$G$2:$G$421,0)),"")</f>
        <v>Acer Chromebook 11 N7 (C731, C731T)</v>
      </c>
      <c r="J35" s="9" t="str">
        <f aca="false">IF(LEFT(C35,3)="09S",IFERROR(MID(INDEX(Sistema!$D$2:$D$421,MATCH(D35,Sistema!$G$2:$G$421,0)),15,5),""),"")</f>
        <v/>
      </c>
      <c r="K35" s="9" t="str">
        <f aca="false">IF(H35="Não encontrado","Não encontrado",IF(H35&lt;&gt;A35,"Local diferente",IF(AND(E35&lt;&gt;"",J35&lt;&gt;"",UPPER(E35)&lt;&gt;UPPER(J35)),"Letra final diferente","Confere")))</f>
        <v>Confere</v>
      </c>
      <c r="L35" s="10"/>
      <c r="M35" s="10"/>
    </row>
    <row r="36" customFormat="false" ht="15" hidden="false" customHeight="false" outlineLevel="0" collapsed="false">
      <c r="A36" s="3" t="s">
        <v>10</v>
      </c>
      <c r="B36" s="9" t="n">
        <v>5</v>
      </c>
      <c r="C36" s="3" t="s">
        <v>361</v>
      </c>
      <c r="D36" s="3" t="str">
        <f aca="false">IF(LEFT(C36,3)="09S",LEFT(C36,14),C36)</f>
        <v>NXH0HAL001831D29089501</v>
      </c>
      <c r="E36" s="9" t="str">
        <f aca="false">IF(LEFT(C36,3)="09S",MID(C36,15,5),"")</f>
        <v/>
      </c>
      <c r="F36" s="9" t="n">
        <v>413934</v>
      </c>
      <c r="G36" s="3" t="s">
        <v>328</v>
      </c>
      <c r="H36" s="3" t="str">
        <f aca="false">IFERROR(INDEX(Sistema!$F$2:$F$421,MATCH(D36,Sistema!$G$2:$G$421,0)),"Não encontrado")</f>
        <v>Carrinho 02 ( AMARELO)</v>
      </c>
      <c r="I36" s="3" t="str">
        <f aca="false">IFERROR(INDEX(Sistema!$C$2:$C$421,MATCH(D36,Sistema!$G$2:$G$421,0)),"")</f>
        <v>Acer Chromebook 11 N7 (C731, C731T)</v>
      </c>
      <c r="J36" s="9" t="str">
        <f aca="false">IF(LEFT(C36,3)="09S",IFERROR(MID(INDEX(Sistema!$D$2:$D$421,MATCH(D36,Sistema!$G$2:$G$421,0)),15,5),""),"")</f>
        <v/>
      </c>
      <c r="K36" s="9" t="str">
        <f aca="false">IF(H36="Não encontrado","Não encontrado",IF(H36&lt;&gt;A36,"Local diferente",IF(AND(E36&lt;&gt;"",J36&lt;&gt;"",UPPER(E36)&lt;&gt;UPPER(J36)),"Letra final diferente","Confere")))</f>
        <v>Confere</v>
      </c>
      <c r="L36" s="10"/>
      <c r="M36" s="10"/>
    </row>
    <row r="37" customFormat="false" ht="15" hidden="false" customHeight="false" outlineLevel="0" collapsed="false">
      <c r="A37" s="3" t="s">
        <v>10</v>
      </c>
      <c r="B37" s="9" t="n">
        <v>6</v>
      </c>
      <c r="C37" s="3" t="s">
        <v>362</v>
      </c>
      <c r="D37" s="3" t="str">
        <f aca="false">IF(LEFT(C37,3)="09S",LEFT(C37,14),C37)</f>
        <v>NXH0HAL001832D65759501</v>
      </c>
      <c r="E37" s="9" t="str">
        <f aca="false">IF(LEFT(C37,3)="09S",MID(C37,15,5),"")</f>
        <v/>
      </c>
      <c r="F37" s="9" t="n">
        <v>413915</v>
      </c>
      <c r="G37" s="3" t="s">
        <v>328</v>
      </c>
      <c r="H37" s="3" t="str">
        <f aca="false">IFERROR(INDEX(Sistema!$F$2:$F$421,MATCH(D37,Sistema!$G$2:$G$421,0)),"Não encontrado")</f>
        <v>Carrinho 02 ( AMARELO)</v>
      </c>
      <c r="I37" s="3" t="str">
        <f aca="false">IFERROR(INDEX(Sistema!$C$2:$C$421,MATCH(D37,Sistema!$G$2:$G$421,0)),"")</f>
        <v>Acer Chromebook 11 N7 (C731, C731T)</v>
      </c>
      <c r="J37" s="9" t="str">
        <f aca="false">IF(LEFT(C37,3)="09S",IFERROR(MID(INDEX(Sistema!$D$2:$D$421,MATCH(D37,Sistema!$G$2:$G$421,0)),15,5),""),"")</f>
        <v/>
      </c>
      <c r="K37" s="9" t="str">
        <f aca="false">IF(H37="Não encontrado","Não encontrado",IF(H37&lt;&gt;A37,"Local diferente",IF(AND(E37&lt;&gt;"",J37&lt;&gt;"",UPPER(E37)&lt;&gt;UPPER(J37)),"Letra final diferente","Confere")))</f>
        <v>Confere</v>
      </c>
      <c r="L37" s="10"/>
      <c r="M37" s="10"/>
    </row>
    <row r="38" customFormat="false" ht="15" hidden="false" customHeight="false" outlineLevel="0" collapsed="false">
      <c r="A38" s="3" t="s">
        <v>10</v>
      </c>
      <c r="B38" s="9" t="n">
        <v>7</v>
      </c>
      <c r="C38" s="3" t="s">
        <v>363</v>
      </c>
      <c r="D38" s="3" t="str">
        <f aca="false">IF(LEFT(C38,3)="09S",LEFT(C38,14),C38)</f>
        <v>NXH0HAL001832D65779501</v>
      </c>
      <c r="E38" s="9" t="str">
        <f aca="false">IF(LEFT(C38,3)="09S",MID(C38,15,5),"")</f>
        <v/>
      </c>
      <c r="F38" s="9" t="n">
        <v>413931</v>
      </c>
      <c r="G38" s="3" t="s">
        <v>328</v>
      </c>
      <c r="H38" s="3" t="str">
        <f aca="false">IFERROR(INDEX(Sistema!$F$2:$F$421,MATCH(D38,Sistema!$G$2:$G$421,0)),"Não encontrado")</f>
        <v>Carrinho 02 ( AMARELO)</v>
      </c>
      <c r="I38" s="3" t="str">
        <f aca="false">IFERROR(INDEX(Sistema!$C$2:$C$421,MATCH(D38,Sistema!$G$2:$G$421,0)),"")</f>
        <v>Acer Chromebook 11 N7 (C731, C731T)</v>
      </c>
      <c r="J38" s="9" t="str">
        <f aca="false">IF(LEFT(C38,3)="09S",IFERROR(MID(INDEX(Sistema!$D$2:$D$421,MATCH(D38,Sistema!$G$2:$G$421,0)),15,5),""),"")</f>
        <v/>
      </c>
      <c r="K38" s="9" t="str">
        <f aca="false">IF(H38="Não encontrado","Não encontrado",IF(H38&lt;&gt;A38,"Local diferente",IF(AND(E38&lt;&gt;"",J38&lt;&gt;"",UPPER(E38)&lt;&gt;UPPER(J38)),"Letra final diferente","Confere")))</f>
        <v>Confere</v>
      </c>
      <c r="L38" s="10"/>
      <c r="M38" s="10"/>
    </row>
    <row r="39" customFormat="false" ht="15" hidden="false" customHeight="false" outlineLevel="0" collapsed="false">
      <c r="A39" s="3" t="s">
        <v>10</v>
      </c>
      <c r="B39" s="9" t="n">
        <v>8</v>
      </c>
      <c r="C39" s="3" t="s">
        <v>364</v>
      </c>
      <c r="D39" s="3" t="str">
        <f aca="false">IF(LEFT(C39,3)="09S",LEFT(C39,14),C39)</f>
        <v>NXH0HAL001832D65699501</v>
      </c>
      <c r="E39" s="9" t="str">
        <f aca="false">IF(LEFT(C39,3)="09S",MID(C39,15,5),"")</f>
        <v/>
      </c>
      <c r="F39" s="9" t="n">
        <v>413749</v>
      </c>
      <c r="G39" s="3" t="s">
        <v>328</v>
      </c>
      <c r="H39" s="3" t="str">
        <f aca="false">IFERROR(INDEX(Sistema!$F$2:$F$421,MATCH(D39,Sistema!$G$2:$G$421,0)),"Não encontrado")</f>
        <v>Carrinho 02 ( AMARELO)</v>
      </c>
      <c r="I39" s="3" t="str">
        <f aca="false">IFERROR(INDEX(Sistema!$C$2:$C$421,MATCH(D39,Sistema!$G$2:$G$421,0)),"")</f>
        <v>Acer Chromebook 11 N7 (C731, C731T)</v>
      </c>
      <c r="J39" s="9" t="str">
        <f aca="false">IF(LEFT(C39,3)="09S",IFERROR(MID(INDEX(Sistema!$D$2:$D$421,MATCH(D39,Sistema!$G$2:$G$421,0)),15,5),""),"")</f>
        <v/>
      </c>
      <c r="K39" s="9" t="str">
        <f aca="false">IF(H39="Não encontrado","Não encontrado",IF(H39&lt;&gt;A39,"Local diferente",IF(AND(E39&lt;&gt;"",J39&lt;&gt;"",UPPER(E39)&lt;&gt;UPPER(J39)),"Letra final diferente","Confere")))</f>
        <v>Confere</v>
      </c>
      <c r="L39" s="10"/>
      <c r="M39" s="10"/>
    </row>
    <row r="40" customFormat="false" ht="15" hidden="false" customHeight="false" outlineLevel="0" collapsed="false">
      <c r="A40" s="3" t="s">
        <v>10</v>
      </c>
      <c r="B40" s="9" t="n">
        <v>9</v>
      </c>
      <c r="C40" s="3" t="s">
        <v>365</v>
      </c>
      <c r="D40" s="3" t="str">
        <f aca="false">IF(LEFT(C40,3)="09S",LEFT(C40,14),C40)</f>
        <v>NXH0HAL0018481E9499501</v>
      </c>
      <c r="E40" s="9" t="str">
        <f aca="false">IF(LEFT(C40,3)="09S",MID(C40,15,5),"")</f>
        <v/>
      </c>
      <c r="F40" s="9" t="n">
        <v>413735</v>
      </c>
      <c r="G40" s="3" t="s">
        <v>328</v>
      </c>
      <c r="H40" s="3" t="str">
        <f aca="false">IFERROR(INDEX(Sistema!$F$2:$F$421,MATCH(D40,Sistema!$G$2:$G$421,0)),"Não encontrado")</f>
        <v>Carrinho 02 ( AMARELO)</v>
      </c>
      <c r="I40" s="3" t="str">
        <f aca="false">IFERROR(INDEX(Sistema!$C$2:$C$421,MATCH(D40,Sistema!$G$2:$G$421,0)),"")</f>
        <v>Acer Chromebook 11 N7 (C731, C731T)</v>
      </c>
      <c r="J40" s="9" t="str">
        <f aca="false">IF(LEFT(C40,3)="09S",IFERROR(MID(INDEX(Sistema!$D$2:$D$421,MATCH(D40,Sistema!$G$2:$G$421,0)),15,5),""),"")</f>
        <v/>
      </c>
      <c r="K40" s="9" t="str">
        <f aca="false">IF(H40="Não encontrado","Não encontrado",IF(H40&lt;&gt;A40,"Local diferente",IF(AND(E40&lt;&gt;"",J40&lt;&gt;"",UPPER(E40)&lt;&gt;UPPER(J40)),"Letra final diferente","Confere")))</f>
        <v>Confere</v>
      </c>
      <c r="L40" s="10"/>
      <c r="M40" s="10"/>
    </row>
    <row r="41" customFormat="false" ht="15" hidden="false" customHeight="false" outlineLevel="0" collapsed="false">
      <c r="A41" s="3" t="s">
        <v>10</v>
      </c>
      <c r="B41" s="9" t="n">
        <v>10</v>
      </c>
      <c r="C41" s="3" t="s">
        <v>366</v>
      </c>
      <c r="D41" s="3" t="str">
        <f aca="false">IF(LEFT(C41,3)="09S",LEFT(C41,14),C41)</f>
        <v>NXH0HAL001832D65419501</v>
      </c>
      <c r="E41" s="9" t="str">
        <f aca="false">IF(LEFT(C41,3)="09S",MID(C41,15,5),"")</f>
        <v/>
      </c>
      <c r="F41" s="9" t="n">
        <v>413946</v>
      </c>
      <c r="G41" s="3" t="s">
        <v>328</v>
      </c>
      <c r="H41" s="3" t="str">
        <f aca="false">IFERROR(INDEX(Sistema!$F$2:$F$421,MATCH(D41,Sistema!$G$2:$G$421,0)),"Não encontrado")</f>
        <v>Carrinho 02 ( AMARELO)</v>
      </c>
      <c r="I41" s="3" t="str">
        <f aca="false">IFERROR(INDEX(Sistema!$C$2:$C$421,MATCH(D41,Sistema!$G$2:$G$421,0)),"")</f>
        <v>Acer Chromebook 11 N7 (C731, C731T)</v>
      </c>
      <c r="J41" s="9" t="str">
        <f aca="false">IF(LEFT(C41,3)="09S",IFERROR(MID(INDEX(Sistema!$D$2:$D$421,MATCH(D41,Sistema!$G$2:$G$421,0)),15,5),""),"")</f>
        <v/>
      </c>
      <c r="K41" s="9" t="str">
        <f aca="false">IF(H41="Não encontrado","Não encontrado",IF(H41&lt;&gt;A41,"Local diferente",IF(AND(E41&lt;&gt;"",J41&lt;&gt;"",UPPER(E41)&lt;&gt;UPPER(J41)),"Letra final diferente","Confere")))</f>
        <v>Confere</v>
      </c>
      <c r="L41" s="10"/>
      <c r="M41" s="10"/>
    </row>
    <row r="42" customFormat="false" ht="15" hidden="false" customHeight="false" outlineLevel="0" collapsed="false">
      <c r="A42" s="3" t="s">
        <v>10</v>
      </c>
      <c r="B42" s="9" t="n">
        <v>11</v>
      </c>
      <c r="C42" s="3" t="s">
        <v>367</v>
      </c>
      <c r="D42" s="3" t="str">
        <f aca="false">IF(LEFT(C42,3)="09S",LEFT(C42,14),C42)</f>
        <v>NXH0HAL001830D18C09501</v>
      </c>
      <c r="E42" s="9" t="str">
        <f aca="false">IF(LEFT(C42,3)="09S",MID(C42,15,5),"")</f>
        <v/>
      </c>
      <c r="F42" s="9" t="n">
        <v>414529</v>
      </c>
      <c r="G42" s="3" t="s">
        <v>328</v>
      </c>
      <c r="H42" s="3" t="str">
        <f aca="false">IFERROR(INDEX(Sistema!$F$2:$F$421,MATCH(D42,Sistema!$G$2:$G$421,0)),"Não encontrado")</f>
        <v>Carrinho 02 ( AMARELO)</v>
      </c>
      <c r="I42" s="3" t="str">
        <f aca="false">IFERROR(INDEX(Sistema!$C$2:$C$421,MATCH(D42,Sistema!$G$2:$G$421,0)),"")</f>
        <v>Acer Chromebook 11 N7 (C731, C731T)</v>
      </c>
      <c r="J42" s="9" t="str">
        <f aca="false">IF(LEFT(C42,3)="09S",IFERROR(MID(INDEX(Sistema!$D$2:$D$421,MATCH(D42,Sistema!$G$2:$G$421,0)),15,5),""),"")</f>
        <v/>
      </c>
      <c r="K42" s="9" t="str">
        <f aca="false">IF(H42="Não encontrado","Não encontrado",IF(H42&lt;&gt;A42,"Local diferente",IF(AND(E42&lt;&gt;"",J42&lt;&gt;"",UPPER(E42)&lt;&gt;UPPER(J42)),"Letra final diferente","Confere")))</f>
        <v>Confere</v>
      </c>
      <c r="L42" s="10"/>
      <c r="M42" s="10"/>
    </row>
    <row r="43" customFormat="false" ht="15" hidden="false" customHeight="false" outlineLevel="0" collapsed="false">
      <c r="A43" s="3" t="s">
        <v>10</v>
      </c>
      <c r="B43" s="9" t="n">
        <v>12</v>
      </c>
      <c r="C43" s="3" t="s">
        <v>368</v>
      </c>
      <c r="D43" s="3" t="str">
        <f aca="false">IF(LEFT(C43,3)="09S",LEFT(C43,14),C43)</f>
        <v>NXH0HAL001830D20CC9501</v>
      </c>
      <c r="E43" s="9" t="str">
        <f aca="false">IF(LEFT(C43,3)="09S",MID(C43,15,5),"")</f>
        <v/>
      </c>
      <c r="F43" s="9" t="n">
        <v>413967</v>
      </c>
      <c r="G43" s="3" t="s">
        <v>328</v>
      </c>
      <c r="H43" s="3" t="str">
        <f aca="false">IFERROR(INDEX(Sistema!$F$2:$F$421,MATCH(D43,Sistema!$G$2:$G$421,0)),"Não encontrado")</f>
        <v>Carrinho 02 ( AMARELO)</v>
      </c>
      <c r="I43" s="3" t="str">
        <f aca="false">IFERROR(INDEX(Sistema!$C$2:$C$421,MATCH(D43,Sistema!$G$2:$G$421,0)),"")</f>
        <v>Acer Chromebook 11 N7 (C731, C731T)</v>
      </c>
      <c r="J43" s="9" t="str">
        <f aca="false">IF(LEFT(C43,3)="09S",IFERROR(MID(INDEX(Sistema!$D$2:$D$421,MATCH(D43,Sistema!$G$2:$G$421,0)),15,5),""),"")</f>
        <v/>
      </c>
      <c r="K43" s="9" t="str">
        <f aca="false">IF(H43="Não encontrado","Não encontrado",IF(H43&lt;&gt;A43,"Local diferente",IF(AND(E43&lt;&gt;"",J43&lt;&gt;"",UPPER(E43)&lt;&gt;UPPER(J43)),"Letra final diferente","Confere")))</f>
        <v>Confere</v>
      </c>
      <c r="L43" s="10"/>
      <c r="M43" s="10"/>
    </row>
    <row r="44" customFormat="false" ht="15" hidden="false" customHeight="false" outlineLevel="0" collapsed="false">
      <c r="A44" s="3" t="s">
        <v>10</v>
      </c>
      <c r="B44" s="9" t="n">
        <v>13</v>
      </c>
      <c r="C44" s="3" t="s">
        <v>369</v>
      </c>
      <c r="D44" s="3" t="str">
        <f aca="false">IF(LEFT(C44,3)="09S",LEFT(C44,14),C44)</f>
        <v>NXH0HAL001830D1BAD9501</v>
      </c>
      <c r="E44" s="9" t="str">
        <f aca="false">IF(LEFT(C44,3)="09S",MID(C44,15,5),"")</f>
        <v/>
      </c>
      <c r="F44" s="9" t="n">
        <v>414350</v>
      </c>
      <c r="G44" s="3" t="s">
        <v>328</v>
      </c>
      <c r="H44" s="3" t="str">
        <f aca="false">IFERROR(INDEX(Sistema!$F$2:$F$421,MATCH(D44,Sistema!$G$2:$G$421,0)),"Não encontrado")</f>
        <v>Carrinho 02 ( AMARELO)</v>
      </c>
      <c r="I44" s="3" t="str">
        <f aca="false">IFERROR(INDEX(Sistema!$C$2:$C$421,MATCH(D44,Sistema!$G$2:$G$421,0)),"")</f>
        <v>Acer Chromebook 11 N7 (C731, C731T)</v>
      </c>
      <c r="J44" s="9" t="str">
        <f aca="false">IF(LEFT(C44,3)="09S",IFERROR(MID(INDEX(Sistema!$D$2:$D$421,MATCH(D44,Sistema!$G$2:$G$421,0)),15,5),""),"")</f>
        <v/>
      </c>
      <c r="K44" s="9" t="str">
        <f aca="false">IF(H44="Não encontrado","Não encontrado",IF(H44&lt;&gt;A44,"Local diferente",IF(AND(E44&lt;&gt;"",J44&lt;&gt;"",UPPER(E44)&lt;&gt;UPPER(J44)),"Letra final diferente","Confere")))</f>
        <v>Confere</v>
      </c>
      <c r="L44" s="10"/>
      <c r="M44" s="10"/>
    </row>
    <row r="45" customFormat="false" ht="15" hidden="false" customHeight="false" outlineLevel="0" collapsed="false">
      <c r="A45" s="3" t="s">
        <v>10</v>
      </c>
      <c r="B45" s="9" t="n">
        <v>14</v>
      </c>
      <c r="C45" s="3" t="s">
        <v>370</v>
      </c>
      <c r="D45" s="3" t="str">
        <f aca="false">IF(LEFT(C45,3)="09S",LEFT(C45,14),C45)</f>
        <v>NXH0HAL001832D672A9501</v>
      </c>
      <c r="E45" s="9" t="str">
        <f aca="false">IF(LEFT(C45,3)="09S",MID(C45,15,5),"")</f>
        <v/>
      </c>
      <c r="F45" s="9" t="n">
        <v>413906</v>
      </c>
      <c r="G45" s="3" t="s">
        <v>328</v>
      </c>
      <c r="H45" s="3" t="str">
        <f aca="false">IFERROR(INDEX(Sistema!$F$2:$F$421,MATCH(D45,Sistema!$G$2:$G$421,0)),"Não encontrado")</f>
        <v>Carrinho 02 ( AMARELO)</v>
      </c>
      <c r="I45" s="3" t="str">
        <f aca="false">IFERROR(INDEX(Sistema!$C$2:$C$421,MATCH(D45,Sistema!$G$2:$G$421,0)),"")</f>
        <v>Acer Chromebook 11 N7 (C731, C731T)</v>
      </c>
      <c r="J45" s="9" t="str">
        <f aca="false">IF(LEFT(C45,3)="09S",IFERROR(MID(INDEX(Sistema!$D$2:$D$421,MATCH(D45,Sistema!$G$2:$G$421,0)),15,5),""),"")</f>
        <v/>
      </c>
      <c r="K45" s="9" t="str">
        <f aca="false">IF(H45="Não encontrado","Não encontrado",IF(H45&lt;&gt;A45,"Local diferente",IF(AND(E45&lt;&gt;"",J45&lt;&gt;"",UPPER(E45)&lt;&gt;UPPER(J45)),"Letra final diferente","Confere")))</f>
        <v>Confere</v>
      </c>
      <c r="L45" s="10"/>
      <c r="M45" s="10"/>
    </row>
    <row r="46" customFormat="false" ht="15" hidden="false" customHeight="false" outlineLevel="0" collapsed="false">
      <c r="A46" s="3" t="s">
        <v>10</v>
      </c>
      <c r="B46" s="9" t="n">
        <v>15</v>
      </c>
      <c r="C46" s="3" t="s">
        <v>371</v>
      </c>
      <c r="D46" s="3" t="str">
        <f aca="false">IF(LEFT(C46,3)="09S",LEFT(C46,14),C46)</f>
        <v>NXH0HAL0018481E9B29501</v>
      </c>
      <c r="E46" s="9" t="str">
        <f aca="false">IF(LEFT(C46,3)="09S",MID(C46,15,5),"")</f>
        <v/>
      </c>
      <c r="F46" s="9" t="n">
        <v>413810</v>
      </c>
      <c r="G46" s="3" t="s">
        <v>328</v>
      </c>
      <c r="H46" s="3" t="str">
        <f aca="false">IFERROR(INDEX(Sistema!$F$2:$F$421,MATCH(D46,Sistema!$G$2:$G$421,0)),"Não encontrado")</f>
        <v>Carrinho 02 ( AMARELO)</v>
      </c>
      <c r="I46" s="3" t="str">
        <f aca="false">IFERROR(INDEX(Sistema!$C$2:$C$421,MATCH(D46,Sistema!$G$2:$G$421,0)),"")</f>
        <v>Acer Chromebook 11 N7 (C731, C731T)</v>
      </c>
      <c r="J46" s="9" t="str">
        <f aca="false">IF(LEFT(C46,3)="09S",IFERROR(MID(INDEX(Sistema!$D$2:$D$421,MATCH(D46,Sistema!$G$2:$G$421,0)),15,5),""),"")</f>
        <v/>
      </c>
      <c r="K46" s="9" t="str">
        <f aca="false">IF(H46="Não encontrado","Não encontrado",IF(H46&lt;&gt;A46,"Local diferente",IF(AND(E46&lt;&gt;"",J46&lt;&gt;"",UPPER(E46)&lt;&gt;UPPER(J46)),"Letra final diferente","Confere")))</f>
        <v>Confere</v>
      </c>
      <c r="L46" s="10"/>
      <c r="M46" s="10"/>
    </row>
    <row r="47" customFormat="false" ht="15" hidden="false" customHeight="false" outlineLevel="0" collapsed="false">
      <c r="A47" s="3" t="s">
        <v>10</v>
      </c>
      <c r="B47" s="9" t="n">
        <v>16</v>
      </c>
      <c r="C47" s="3" t="s">
        <v>372</v>
      </c>
      <c r="D47" s="3" t="str">
        <f aca="false">IF(LEFT(C47,3)="09S",LEFT(C47,14),C47)</f>
        <v>NXH0HAL001831D28DD9501</v>
      </c>
      <c r="E47" s="9" t="str">
        <f aca="false">IF(LEFT(C47,3)="09S",MID(C47,15,5),"")</f>
        <v/>
      </c>
      <c r="F47" s="9" t="n">
        <v>413861</v>
      </c>
      <c r="G47" s="3" t="s">
        <v>328</v>
      </c>
      <c r="H47" s="3" t="str">
        <f aca="false">IFERROR(INDEX(Sistema!$F$2:$F$421,MATCH(D47,Sistema!$G$2:$G$421,0)),"Não encontrado")</f>
        <v>Carrinho 02 ( AMARELO)</v>
      </c>
      <c r="I47" s="3" t="str">
        <f aca="false">IFERROR(INDEX(Sistema!$C$2:$C$421,MATCH(D47,Sistema!$G$2:$G$421,0)),"")</f>
        <v>Acer Chromebook 11 N7 (C731, C731T)</v>
      </c>
      <c r="J47" s="9" t="str">
        <f aca="false">IF(LEFT(C47,3)="09S",IFERROR(MID(INDEX(Sistema!$D$2:$D$421,MATCH(D47,Sistema!$G$2:$G$421,0)),15,5),""),"")</f>
        <v/>
      </c>
      <c r="K47" s="9" t="str">
        <f aca="false">IF(H47="Não encontrado","Não encontrado",IF(H47&lt;&gt;A47,"Local diferente",IF(AND(E47&lt;&gt;"",J47&lt;&gt;"",UPPER(E47)&lt;&gt;UPPER(J47)),"Letra final diferente","Confere")))</f>
        <v>Confere</v>
      </c>
      <c r="L47" s="10"/>
      <c r="M47" s="10"/>
    </row>
    <row r="48" customFormat="false" ht="15" hidden="false" customHeight="false" outlineLevel="0" collapsed="false">
      <c r="A48" s="3" t="s">
        <v>10</v>
      </c>
      <c r="B48" s="9" t="n">
        <v>17</v>
      </c>
      <c r="C48" s="3" t="s">
        <v>373</v>
      </c>
      <c r="D48" s="3" t="str">
        <f aca="false">IF(LEFT(C48,3)="09S",LEFT(C48,14),C48)</f>
        <v>NXH0HAL001832D65F69501</v>
      </c>
      <c r="E48" s="9" t="str">
        <f aca="false">IF(LEFT(C48,3)="09S",MID(C48,15,5),"")</f>
        <v/>
      </c>
      <c r="F48" s="9" t="n">
        <v>413823</v>
      </c>
      <c r="G48" s="3" t="s">
        <v>328</v>
      </c>
      <c r="H48" s="3" t="str">
        <f aca="false">IFERROR(INDEX(Sistema!$F$2:$F$421,MATCH(D48,Sistema!$G$2:$G$421,0)),"Não encontrado")</f>
        <v>Carrinho 02 ( AMARELO)</v>
      </c>
      <c r="I48" s="3" t="str">
        <f aca="false">IFERROR(INDEX(Sistema!$C$2:$C$421,MATCH(D48,Sistema!$G$2:$G$421,0)),"")</f>
        <v>Acer Chromebook 11 N7 (C731, C731T)</v>
      </c>
      <c r="J48" s="9" t="str">
        <f aca="false">IF(LEFT(C48,3)="09S",IFERROR(MID(INDEX(Sistema!$D$2:$D$421,MATCH(D48,Sistema!$G$2:$G$421,0)),15,5),""),"")</f>
        <v/>
      </c>
      <c r="K48" s="9" t="str">
        <f aca="false">IF(H48="Não encontrado","Não encontrado",IF(H48&lt;&gt;A48,"Local diferente",IF(AND(E48&lt;&gt;"",J48&lt;&gt;"",UPPER(E48)&lt;&gt;UPPER(J48)),"Letra final diferente","Confere")))</f>
        <v>Confere</v>
      </c>
      <c r="L48" s="10"/>
      <c r="M48" s="10"/>
    </row>
    <row r="49" customFormat="false" ht="15" hidden="false" customHeight="false" outlineLevel="0" collapsed="false">
      <c r="A49" s="3" t="s">
        <v>10</v>
      </c>
      <c r="B49" s="9" t="n">
        <v>18</v>
      </c>
      <c r="C49" s="3" t="s">
        <v>374</v>
      </c>
      <c r="D49" s="3" t="str">
        <f aca="false">IF(LEFT(C49,3)="09S",LEFT(C49,14),C49)</f>
        <v>NXH0HAL001832D65AB9501</v>
      </c>
      <c r="E49" s="9" t="str">
        <f aca="false">IF(LEFT(C49,3)="09S",MID(C49,15,5),"")</f>
        <v/>
      </c>
      <c r="F49" s="9" t="n">
        <v>413912</v>
      </c>
      <c r="G49" s="3" t="s">
        <v>328</v>
      </c>
      <c r="H49" s="3" t="str">
        <f aca="false">IFERROR(INDEX(Sistema!$F$2:$F$421,MATCH(D49,Sistema!$G$2:$G$421,0)),"Não encontrado")</f>
        <v>Carrinho 02 ( AMARELO)</v>
      </c>
      <c r="I49" s="3" t="str">
        <f aca="false">IFERROR(INDEX(Sistema!$C$2:$C$421,MATCH(D49,Sistema!$G$2:$G$421,0)),"")</f>
        <v>Acer Chromebook 11 N7 (C731, C731T)</v>
      </c>
      <c r="J49" s="9" t="str">
        <f aca="false">IF(LEFT(C49,3)="09S",IFERROR(MID(INDEX(Sistema!$D$2:$D$421,MATCH(D49,Sistema!$G$2:$G$421,0)),15,5),""),"")</f>
        <v/>
      </c>
      <c r="K49" s="9" t="str">
        <f aca="false">IF(H49="Não encontrado","Não encontrado",IF(H49&lt;&gt;A49,"Local diferente",IF(AND(E49&lt;&gt;"",J49&lt;&gt;"",UPPER(E49)&lt;&gt;UPPER(J49)),"Letra final diferente","Confere")))</f>
        <v>Confere</v>
      </c>
      <c r="L49" s="10"/>
      <c r="M49" s="10"/>
    </row>
    <row r="50" customFormat="false" ht="15" hidden="false" customHeight="false" outlineLevel="0" collapsed="false">
      <c r="A50" s="3" t="s">
        <v>10</v>
      </c>
      <c r="B50" s="9" t="n">
        <v>19</v>
      </c>
      <c r="C50" s="3" t="s">
        <v>375</v>
      </c>
      <c r="D50" s="3" t="str">
        <f aca="false">IF(LEFT(C50,3)="09S",LEFT(C50,14),C50)</f>
        <v>NXH0HAL001830D1FAE9501</v>
      </c>
      <c r="E50" s="9" t="str">
        <f aca="false">IF(LEFT(C50,3)="09S",MID(C50,15,5),"")</f>
        <v/>
      </c>
      <c r="F50" s="9" t="n">
        <v>414476</v>
      </c>
      <c r="G50" s="3" t="s">
        <v>328</v>
      </c>
      <c r="H50" s="3" t="str">
        <f aca="false">IFERROR(INDEX(Sistema!$F$2:$F$421,MATCH(D50,Sistema!$G$2:$G$421,0)),"Não encontrado")</f>
        <v>Carrinho 02 ( AMARELO)</v>
      </c>
      <c r="I50" s="3" t="str">
        <f aca="false">IFERROR(INDEX(Sistema!$C$2:$C$421,MATCH(D50,Sistema!$G$2:$G$421,0)),"")</f>
        <v>Acer Chromebook 11 N7 (C731, C731T)</v>
      </c>
      <c r="J50" s="9" t="str">
        <f aca="false">IF(LEFT(C50,3)="09S",IFERROR(MID(INDEX(Sistema!$D$2:$D$421,MATCH(D50,Sistema!$G$2:$G$421,0)),15,5),""),"")</f>
        <v/>
      </c>
      <c r="K50" s="9" t="str">
        <f aca="false">IF(H50="Não encontrado","Não encontrado",IF(H50&lt;&gt;A50,"Local diferente",IF(AND(E50&lt;&gt;"",J50&lt;&gt;"",UPPER(E50)&lt;&gt;UPPER(J50)),"Letra final diferente","Confere")))</f>
        <v>Confere</v>
      </c>
      <c r="L50" s="10"/>
      <c r="M50" s="10"/>
    </row>
    <row r="51" customFormat="false" ht="15" hidden="false" customHeight="false" outlineLevel="0" collapsed="false">
      <c r="A51" s="3" t="s">
        <v>10</v>
      </c>
      <c r="B51" s="9" t="n">
        <v>20</v>
      </c>
      <c r="C51" s="3" t="s">
        <v>376</v>
      </c>
      <c r="D51" s="3" t="str">
        <f aca="false">IF(LEFT(C51,3)="09S",LEFT(C51,14),C51)</f>
        <v>NXH0HAL001832D5C449501</v>
      </c>
      <c r="E51" s="9" t="str">
        <f aca="false">IF(LEFT(C51,3)="09S",MID(C51,15,5),"")</f>
        <v/>
      </c>
      <c r="F51" s="9" t="n">
        <v>413968</v>
      </c>
      <c r="G51" s="3" t="s">
        <v>328</v>
      </c>
      <c r="H51" s="3" t="str">
        <f aca="false">IFERROR(INDEX(Sistema!$F$2:$F$421,MATCH(D51,Sistema!$G$2:$G$421,0)),"Não encontrado")</f>
        <v>Carrinho 02 ( AMARELO)</v>
      </c>
      <c r="I51" s="3" t="str">
        <f aca="false">IFERROR(INDEX(Sistema!$C$2:$C$421,MATCH(D51,Sistema!$G$2:$G$421,0)),"")</f>
        <v>Acer Chromebook 11 N7 (C731, C731T)</v>
      </c>
      <c r="J51" s="9" t="str">
        <f aca="false">IF(LEFT(C51,3)="09S",IFERROR(MID(INDEX(Sistema!$D$2:$D$421,MATCH(D51,Sistema!$G$2:$G$421,0)),15,5),""),"")</f>
        <v/>
      </c>
      <c r="K51" s="9" t="str">
        <f aca="false">IF(H51="Não encontrado","Não encontrado",IF(H51&lt;&gt;A51,"Local diferente",IF(AND(E51&lt;&gt;"",J51&lt;&gt;"",UPPER(E51)&lt;&gt;UPPER(J51)),"Letra final diferente","Confere")))</f>
        <v>Confere</v>
      </c>
      <c r="L51" s="10"/>
      <c r="M51" s="10"/>
    </row>
    <row r="52" customFormat="false" ht="15" hidden="false" customHeight="false" outlineLevel="0" collapsed="false">
      <c r="A52" s="3" t="s">
        <v>10</v>
      </c>
      <c r="B52" s="9" t="n">
        <v>21</v>
      </c>
      <c r="C52" s="3" t="s">
        <v>377</v>
      </c>
      <c r="D52" s="3" t="str">
        <f aca="false">IF(LEFT(C52,3)="09S",LEFT(C52,14),C52)</f>
        <v>NXH0HAL001830D190D9501</v>
      </c>
      <c r="E52" s="9" t="str">
        <f aca="false">IF(LEFT(C52,3)="09S",MID(C52,15,5),"")</f>
        <v/>
      </c>
      <c r="F52" s="9" t="n">
        <v>414460</v>
      </c>
      <c r="G52" s="3" t="s">
        <v>328</v>
      </c>
      <c r="H52" s="3" t="str">
        <f aca="false">IFERROR(INDEX(Sistema!$F$2:$F$421,MATCH(D52,Sistema!$G$2:$G$421,0)),"Não encontrado")</f>
        <v>Carrinho 02 ( AMARELO)</v>
      </c>
      <c r="I52" s="3" t="str">
        <f aca="false">IFERROR(INDEX(Sistema!$C$2:$C$421,MATCH(D52,Sistema!$G$2:$G$421,0)),"")</f>
        <v>Acer Chromebook 11 N7 (C731, C731T)</v>
      </c>
      <c r="J52" s="9" t="str">
        <f aca="false">IF(LEFT(C52,3)="09S",IFERROR(MID(INDEX(Sistema!$D$2:$D$421,MATCH(D52,Sistema!$G$2:$G$421,0)),15,5),""),"")</f>
        <v/>
      </c>
      <c r="K52" s="9" t="str">
        <f aca="false">IF(H52="Não encontrado","Não encontrado",IF(H52&lt;&gt;A52,"Local diferente",IF(AND(E52&lt;&gt;"",J52&lt;&gt;"",UPPER(E52)&lt;&gt;UPPER(J52)),"Letra final diferente","Confere")))</f>
        <v>Confere</v>
      </c>
      <c r="L52" s="10"/>
      <c r="M52" s="10"/>
    </row>
    <row r="53" customFormat="false" ht="15" hidden="false" customHeight="false" outlineLevel="0" collapsed="false">
      <c r="A53" s="3" t="s">
        <v>10</v>
      </c>
      <c r="B53" s="9" t="n">
        <v>22</v>
      </c>
      <c r="C53" s="3" t="s">
        <v>378</v>
      </c>
      <c r="D53" s="3" t="str">
        <f aca="false">IF(LEFT(C53,3)="09S",LEFT(C53,14),C53)</f>
        <v>NXH0HAL001830D1FCE9501</v>
      </c>
      <c r="E53" s="9" t="str">
        <f aca="false">IF(LEFT(C53,3)="09S",MID(C53,15,5),"")</f>
        <v/>
      </c>
      <c r="F53" s="9" t="n">
        <v>413953</v>
      </c>
      <c r="G53" s="3" t="s">
        <v>328</v>
      </c>
      <c r="H53" s="3" t="str">
        <f aca="false">IFERROR(INDEX(Sistema!$F$2:$F$421,MATCH(D53,Sistema!$G$2:$G$421,0)),"Não encontrado")</f>
        <v>Carrinho 02 ( AMARELO)</v>
      </c>
      <c r="I53" s="3" t="str">
        <f aca="false">IFERROR(INDEX(Sistema!$C$2:$C$421,MATCH(D53,Sistema!$G$2:$G$421,0)),"")</f>
        <v>Acer Chromebook 11 N7 (C731, C731T)</v>
      </c>
      <c r="J53" s="9" t="str">
        <f aca="false">IF(LEFT(C53,3)="09S",IFERROR(MID(INDEX(Sistema!$D$2:$D$421,MATCH(D53,Sistema!$G$2:$G$421,0)),15,5),""),"")</f>
        <v/>
      </c>
      <c r="K53" s="9" t="str">
        <f aca="false">IF(H53="Não encontrado","Não encontrado",IF(H53&lt;&gt;A53,"Local diferente",IF(AND(E53&lt;&gt;"",J53&lt;&gt;"",UPPER(E53)&lt;&gt;UPPER(J53)),"Letra final diferente","Confere")))</f>
        <v>Confere</v>
      </c>
      <c r="L53" s="10"/>
      <c r="M53" s="10"/>
    </row>
    <row r="54" customFormat="false" ht="15" hidden="false" customHeight="false" outlineLevel="0" collapsed="false">
      <c r="A54" s="3" t="s">
        <v>10</v>
      </c>
      <c r="B54" s="9" t="n">
        <v>23</v>
      </c>
      <c r="C54" s="3" t="s">
        <v>379</v>
      </c>
      <c r="D54" s="3" t="str">
        <f aca="false">IF(LEFT(C54,3)="09S",LEFT(C54,14),C54)</f>
        <v>NXH0HAL001839ED5039501</v>
      </c>
      <c r="E54" s="9" t="str">
        <f aca="false">IF(LEFT(C54,3)="09S",MID(C54,15,5),"")</f>
        <v/>
      </c>
      <c r="F54" s="9" t="n">
        <v>413950</v>
      </c>
      <c r="G54" s="3" t="s">
        <v>328</v>
      </c>
      <c r="H54" s="3" t="str">
        <f aca="false">IFERROR(INDEX(Sistema!$F$2:$F$421,MATCH(D54,Sistema!$G$2:$G$421,0)),"Não encontrado")</f>
        <v>Carrinho 02 ( AMARELO)</v>
      </c>
      <c r="I54" s="3" t="str">
        <f aca="false">IFERROR(INDEX(Sistema!$C$2:$C$421,MATCH(D54,Sistema!$G$2:$G$421,0)),"")</f>
        <v>Acer Chromebook 11 N7 (C731, C731T)</v>
      </c>
      <c r="J54" s="9" t="str">
        <f aca="false">IF(LEFT(C54,3)="09S",IFERROR(MID(INDEX(Sistema!$D$2:$D$421,MATCH(D54,Sistema!$G$2:$G$421,0)),15,5),""),"")</f>
        <v/>
      </c>
      <c r="K54" s="9" t="str">
        <f aca="false">IF(H54="Não encontrado","Não encontrado",IF(H54&lt;&gt;A54,"Local diferente",IF(AND(E54&lt;&gt;"",J54&lt;&gt;"",UPPER(E54)&lt;&gt;UPPER(J54)),"Letra final diferente","Confere")))</f>
        <v>Confere</v>
      </c>
      <c r="L54" s="10"/>
      <c r="M54" s="10"/>
    </row>
    <row r="55" customFormat="false" ht="15" hidden="false" customHeight="false" outlineLevel="0" collapsed="false">
      <c r="A55" s="3" t="s">
        <v>10</v>
      </c>
      <c r="B55" s="9" t="n">
        <v>24</v>
      </c>
      <c r="C55" s="3" t="s">
        <v>380</v>
      </c>
      <c r="D55" s="3" t="str">
        <f aca="false">IF(LEFT(C55,3)="09S",LEFT(C55,14),C55)</f>
        <v>NXH0HAL001832D5B9A9501</v>
      </c>
      <c r="E55" s="9" t="str">
        <f aca="false">IF(LEFT(C55,3)="09S",MID(C55,15,5),"")</f>
        <v/>
      </c>
      <c r="F55" s="9" t="n">
        <v>413951</v>
      </c>
      <c r="G55" s="3" t="s">
        <v>328</v>
      </c>
      <c r="H55" s="3" t="str">
        <f aca="false">IFERROR(INDEX(Sistema!$F$2:$F$421,MATCH(D55,Sistema!$G$2:$G$421,0)),"Não encontrado")</f>
        <v>Carrinho 02 ( AMARELO)</v>
      </c>
      <c r="I55" s="3" t="str">
        <f aca="false">IFERROR(INDEX(Sistema!$C$2:$C$421,MATCH(D55,Sistema!$G$2:$G$421,0)),"")</f>
        <v>Acer Chromebook 11 N7 (C731, C731T)</v>
      </c>
      <c r="J55" s="9" t="str">
        <f aca="false">IF(LEFT(C55,3)="09S",IFERROR(MID(INDEX(Sistema!$D$2:$D$421,MATCH(D55,Sistema!$G$2:$G$421,0)),15,5),""),"")</f>
        <v/>
      </c>
      <c r="K55" s="9" t="str">
        <f aca="false">IF(H55="Não encontrado","Não encontrado",IF(H55&lt;&gt;A55,"Local diferente",IF(AND(E55&lt;&gt;"",J55&lt;&gt;"",UPPER(E55)&lt;&gt;UPPER(J55)),"Letra final diferente","Confere")))</f>
        <v>Confere</v>
      </c>
      <c r="L55" s="10"/>
      <c r="M55" s="10"/>
    </row>
    <row r="56" customFormat="false" ht="15" hidden="false" customHeight="false" outlineLevel="0" collapsed="false">
      <c r="A56" s="3" t="s">
        <v>10</v>
      </c>
      <c r="B56" s="9" t="n">
        <v>25</v>
      </c>
      <c r="C56" s="3" t="s">
        <v>381</v>
      </c>
      <c r="D56" s="3" t="str">
        <f aca="false">IF(LEFT(C56,3)="09S",LEFT(C56,14),C56)</f>
        <v>NXH0HAL001832D65449501</v>
      </c>
      <c r="E56" s="9" t="str">
        <f aca="false">IF(LEFT(C56,3)="09S",MID(C56,15,5),"")</f>
        <v/>
      </c>
      <c r="F56" s="9" t="n">
        <v>413945</v>
      </c>
      <c r="G56" s="3" t="s">
        <v>328</v>
      </c>
      <c r="H56" s="3" t="str">
        <f aca="false">IFERROR(INDEX(Sistema!$F$2:$F$421,MATCH(D56,Sistema!$G$2:$G$421,0)),"Não encontrado")</f>
        <v>Carrinho 02 ( AMARELO)</v>
      </c>
      <c r="I56" s="3" t="str">
        <f aca="false">IFERROR(INDEX(Sistema!$C$2:$C$421,MATCH(D56,Sistema!$G$2:$G$421,0)),"")</f>
        <v>Acer Chromebook 11 N7 (C731, C731T)</v>
      </c>
      <c r="J56" s="9" t="str">
        <f aca="false">IF(LEFT(C56,3)="09S",IFERROR(MID(INDEX(Sistema!$D$2:$D$421,MATCH(D56,Sistema!$G$2:$G$421,0)),15,5),""),"")</f>
        <v/>
      </c>
      <c r="K56" s="9" t="str">
        <f aca="false">IF(H56="Não encontrado","Não encontrado",IF(H56&lt;&gt;A56,"Local diferente",IF(AND(E56&lt;&gt;"",J56&lt;&gt;"",UPPER(E56)&lt;&gt;UPPER(J56)),"Letra final diferente","Confere")))</f>
        <v>Confere</v>
      </c>
      <c r="L56" s="10"/>
      <c r="M56" s="10"/>
    </row>
    <row r="57" customFormat="false" ht="39.55" hidden="false" customHeight="false" outlineLevel="0" collapsed="false">
      <c r="A57" s="3" t="s">
        <v>11</v>
      </c>
      <c r="B57" s="9" t="n">
        <v>1</v>
      </c>
      <c r="C57" s="3" t="s">
        <v>66</v>
      </c>
      <c r="D57" s="3" t="str">
        <f aca="false">IF(LEFT(C57,3)="09S",LEFT(C57,14),C57)</f>
        <v>NXG54AL00274817F47600</v>
      </c>
      <c r="E57" s="9" t="str">
        <f aca="false">IF(LEFT(C57,3)="09S",MID(C57,15,5),"")</f>
        <v/>
      </c>
      <c r="F57" s="9" t="n">
        <v>408646</v>
      </c>
      <c r="G57" s="3" t="s">
        <v>382</v>
      </c>
      <c r="H57" s="3" t="str">
        <f aca="false">IFERROR(INDEX(Sistema!$F$2:$F$421,MATCH(D57,Sistema!$G$2:$G$421,0)),"Não encontrado")</f>
        <v>Não encontrado</v>
      </c>
      <c r="I57" s="3" t="str">
        <f aca="false">IFERROR(INDEX(Sistema!$C$2:$C$421,MATCH(D57,Sistema!$G$2:$G$421,0)),"")</f>
        <v/>
      </c>
      <c r="J57" s="9" t="str">
        <f aca="false">IF(LEFT(C57,3)="09S",IFERROR(MID(INDEX(Sistema!$D$2:$D$421,MATCH(D57,Sistema!$G$2:$G$421,0)),15,5),""),"")</f>
        <v/>
      </c>
      <c r="K57" s="9" t="str">
        <f aca="false">IF(H57="Não encontrado","Não encontrado",IF(H57&lt;&gt;A57,"Local diferente",IF(AND(E57&lt;&gt;"",J57&lt;&gt;"",UPPER(E57)&lt;&gt;UPPER(J57)),"Letra final diferente","Confere")))</f>
        <v>Não encontrado</v>
      </c>
      <c r="L57" s="10" t="s">
        <v>383</v>
      </c>
      <c r="M57" s="10"/>
    </row>
    <row r="58" customFormat="false" ht="15" hidden="false" customHeight="false" outlineLevel="0" collapsed="false">
      <c r="A58" s="3" t="s">
        <v>11</v>
      </c>
      <c r="B58" s="9" t="n">
        <v>2</v>
      </c>
      <c r="C58" s="3" t="s">
        <v>384</v>
      </c>
      <c r="D58" s="3" t="str">
        <f aca="false">IF(LEFT(C58,3)="09S",LEFT(C58,14),C58)</f>
        <v>NXG54AL002749009B47600</v>
      </c>
      <c r="E58" s="9" t="str">
        <f aca="false">IF(LEFT(C58,3)="09S",MID(C58,15,5),"")</f>
        <v/>
      </c>
      <c r="F58" s="9" t="n">
        <v>411527</v>
      </c>
      <c r="G58" s="3" t="s">
        <v>382</v>
      </c>
      <c r="H58" s="3" t="str">
        <f aca="false">IFERROR(INDEX(Sistema!$F$2:$F$421,MATCH(D58,Sistema!$G$2:$G$421,0)),"Não encontrado")</f>
        <v>Carrinho 03  ( VERMELHO - CHROME R11 - ED. IN</v>
      </c>
      <c r="I58" s="3" t="str">
        <f aca="false">IFERROR(INDEX(Sistema!$C$2:$C$421,MATCH(D58,Sistema!$G$2:$G$421,0)),"")</f>
        <v>Acer Chromebook R11 (CB5-132T, C738T)</v>
      </c>
      <c r="J58" s="9" t="str">
        <f aca="false">IF(LEFT(C58,3)="09S",IFERROR(MID(INDEX(Sistema!$D$2:$D$421,MATCH(D58,Sistema!$G$2:$G$421,0)),15,5),""),"")</f>
        <v/>
      </c>
      <c r="K58" s="9" t="str">
        <f aca="false">IF(H58="Não encontrado","Não encontrado",IF(H58&lt;&gt;A58,"Local diferente",IF(AND(E58&lt;&gt;"",J58&lt;&gt;"",UPPER(E58)&lt;&gt;UPPER(J58)),"Letra final diferente","Confere")))</f>
        <v>Confere</v>
      </c>
      <c r="L58" s="10"/>
      <c r="M58" s="10"/>
    </row>
    <row r="59" customFormat="false" ht="15" hidden="false" customHeight="false" outlineLevel="0" collapsed="false">
      <c r="A59" s="3" t="s">
        <v>11</v>
      </c>
      <c r="B59" s="9" t="n">
        <v>3</v>
      </c>
      <c r="C59" s="3" t="s">
        <v>385</v>
      </c>
      <c r="D59" s="3" t="str">
        <f aca="false">IF(LEFT(C59,3)="09S",LEFT(C59,14),C59)</f>
        <v>NXG54AL0027481765A7600</v>
      </c>
      <c r="E59" s="9" t="str">
        <f aca="false">IF(LEFT(C59,3)="09S",MID(C59,15,5),"")</f>
        <v/>
      </c>
      <c r="F59" s="9" t="n">
        <v>411583</v>
      </c>
      <c r="G59" s="3" t="s">
        <v>382</v>
      </c>
      <c r="H59" s="3" t="str">
        <f aca="false">IFERROR(INDEX(Sistema!$F$2:$F$421,MATCH(D59,Sistema!$G$2:$G$421,0)),"Não encontrado")</f>
        <v>Carrinho 03  ( VERMELHO - CHROME R11 - ED. IN</v>
      </c>
      <c r="I59" s="3" t="str">
        <f aca="false">IFERROR(INDEX(Sistema!$C$2:$C$421,MATCH(D59,Sistema!$G$2:$G$421,0)),"")</f>
        <v>Acer Chromebook R11 (CB5-132T, C738T)</v>
      </c>
      <c r="J59" s="9" t="str">
        <f aca="false">IF(LEFT(C59,3)="09S",IFERROR(MID(INDEX(Sistema!$D$2:$D$421,MATCH(D59,Sistema!$G$2:$G$421,0)),15,5),""),"")</f>
        <v/>
      </c>
      <c r="K59" s="9" t="str">
        <f aca="false">IF(H59="Não encontrado","Não encontrado",IF(H59&lt;&gt;A59,"Local diferente",IF(AND(E59&lt;&gt;"",J59&lt;&gt;"",UPPER(E59)&lt;&gt;UPPER(J59)),"Letra final diferente","Confere")))</f>
        <v>Confere</v>
      </c>
      <c r="L59" s="10"/>
      <c r="M59" s="10"/>
    </row>
    <row r="60" customFormat="false" ht="15" hidden="false" customHeight="false" outlineLevel="0" collapsed="false">
      <c r="A60" s="3" t="s">
        <v>11</v>
      </c>
      <c r="B60" s="9" t="n">
        <v>4</v>
      </c>
      <c r="C60" s="3" t="s">
        <v>386</v>
      </c>
      <c r="D60" s="3" t="str">
        <f aca="false">IF(LEFT(C60,3)="09S",LEFT(C60,14),C60)</f>
        <v>NXG54AL002749008347600</v>
      </c>
      <c r="E60" s="9" t="str">
        <f aca="false">IF(LEFT(C60,3)="09S",MID(C60,15,5),"")</f>
        <v/>
      </c>
      <c r="F60" s="9" t="n">
        <v>408519</v>
      </c>
      <c r="G60" s="3" t="s">
        <v>382</v>
      </c>
      <c r="H60" s="3" t="str">
        <f aca="false">IFERROR(INDEX(Sistema!$F$2:$F$421,MATCH(D60,Sistema!$G$2:$G$421,0)),"Não encontrado")</f>
        <v>Carrinho 03  ( VERMELHO - CHROME R11 - ED. IN</v>
      </c>
      <c r="I60" s="3" t="str">
        <f aca="false">IFERROR(INDEX(Sistema!$C$2:$C$421,MATCH(D60,Sistema!$G$2:$G$421,0)),"")</f>
        <v>Acer Chromebook R11 (CB5-132T, C738T)</v>
      </c>
      <c r="J60" s="9" t="str">
        <f aca="false">IF(LEFT(C60,3)="09S",IFERROR(MID(INDEX(Sistema!$D$2:$D$421,MATCH(D60,Sistema!$G$2:$G$421,0)),15,5),""),"")</f>
        <v/>
      </c>
      <c r="K60" s="9" t="str">
        <f aca="false">IF(H60="Não encontrado","Não encontrado",IF(H60&lt;&gt;A60,"Local diferente",IF(AND(E60&lt;&gt;"",J60&lt;&gt;"",UPPER(E60)&lt;&gt;UPPER(J60)),"Letra final diferente","Confere")))</f>
        <v>Confere</v>
      </c>
      <c r="L60" s="10"/>
      <c r="M60" s="10"/>
    </row>
    <row r="61" customFormat="false" ht="15" hidden="false" customHeight="false" outlineLevel="0" collapsed="false">
      <c r="A61" s="3" t="s">
        <v>11</v>
      </c>
      <c r="B61" s="9" t="n">
        <v>5</v>
      </c>
      <c r="C61" s="3" t="s">
        <v>387</v>
      </c>
      <c r="D61" s="3" t="str">
        <f aca="false">IF(LEFT(C61,3)="09S",LEFT(C61,14),C61)</f>
        <v>NXG54AL0027430A0E07600</v>
      </c>
      <c r="E61" s="9" t="str">
        <f aca="false">IF(LEFT(C61,3)="09S",MID(C61,15,5),"")</f>
        <v/>
      </c>
      <c r="F61" s="9" t="n">
        <v>411307</v>
      </c>
      <c r="G61" s="3" t="s">
        <v>382</v>
      </c>
      <c r="H61" s="3" t="str">
        <f aca="false">IFERROR(INDEX(Sistema!$F$2:$F$421,MATCH(D61,Sistema!$G$2:$G$421,0)),"Não encontrado")</f>
        <v>Carrinho 03  ( VERMELHO - CHROME R11 - ED. IN</v>
      </c>
      <c r="I61" s="3" t="str">
        <f aca="false">IFERROR(INDEX(Sistema!$C$2:$C$421,MATCH(D61,Sistema!$G$2:$G$421,0)),"")</f>
        <v>Acer Chromebook R11 (CB5-132T, C738T)</v>
      </c>
      <c r="J61" s="9" t="str">
        <f aca="false">IF(LEFT(C61,3)="09S",IFERROR(MID(INDEX(Sistema!$D$2:$D$421,MATCH(D61,Sistema!$G$2:$G$421,0)),15,5),""),"")</f>
        <v/>
      </c>
      <c r="K61" s="9" t="str">
        <f aca="false">IF(H61="Não encontrado","Não encontrado",IF(H61&lt;&gt;A61,"Local diferente",IF(AND(E61&lt;&gt;"",J61&lt;&gt;"",UPPER(E61)&lt;&gt;UPPER(J61)),"Letra final diferente","Confere")))</f>
        <v>Confere</v>
      </c>
      <c r="L61" s="10"/>
      <c r="M61" s="10"/>
    </row>
    <row r="62" customFormat="false" ht="15" hidden="false" customHeight="false" outlineLevel="0" collapsed="false">
      <c r="A62" s="3" t="s">
        <v>11</v>
      </c>
      <c r="B62" s="9" t="n">
        <v>6</v>
      </c>
      <c r="C62" s="3" t="s">
        <v>388</v>
      </c>
      <c r="D62" s="3" t="str">
        <f aca="false">IF(LEFT(C62,3)="09S",LEFT(C62,14),C62)</f>
        <v>NXG54AL002749005BF7600</v>
      </c>
      <c r="E62" s="9" t="str">
        <f aca="false">IF(LEFT(C62,3)="09S",MID(C62,15,5),"")</f>
        <v/>
      </c>
      <c r="F62" s="9" t="n">
        <v>407725</v>
      </c>
      <c r="G62" s="3" t="s">
        <v>382</v>
      </c>
      <c r="H62" s="3" t="str">
        <f aca="false">IFERROR(INDEX(Sistema!$F$2:$F$421,MATCH(D62,Sistema!$G$2:$G$421,0)),"Não encontrado")</f>
        <v>Carrinho 03  ( VERMELHO - CHROME R11 - ED. IN</v>
      </c>
      <c r="I62" s="3" t="str">
        <f aca="false">IFERROR(INDEX(Sistema!$C$2:$C$421,MATCH(D62,Sistema!$G$2:$G$421,0)),"")</f>
        <v>Acer Chromebook R11 (CB5-132T, C738T)</v>
      </c>
      <c r="J62" s="9" t="str">
        <f aca="false">IF(LEFT(C62,3)="09S",IFERROR(MID(INDEX(Sistema!$D$2:$D$421,MATCH(D62,Sistema!$G$2:$G$421,0)),15,5),""),"")</f>
        <v/>
      </c>
      <c r="K62" s="9" t="str">
        <f aca="false">IF(H62="Não encontrado","Não encontrado",IF(H62&lt;&gt;A62,"Local diferente",IF(AND(E62&lt;&gt;"",J62&lt;&gt;"",UPPER(E62)&lt;&gt;UPPER(J62)),"Letra final diferente","Confere")))</f>
        <v>Confere</v>
      </c>
      <c r="L62" s="10"/>
      <c r="M62" s="10"/>
    </row>
    <row r="63" customFormat="false" ht="15" hidden="false" customHeight="false" outlineLevel="0" collapsed="false">
      <c r="A63" s="3" t="s">
        <v>11</v>
      </c>
      <c r="B63" s="9" t="n">
        <v>7</v>
      </c>
      <c r="C63" s="3" t="s">
        <v>389</v>
      </c>
      <c r="D63" s="3" t="str">
        <f aca="false">IF(LEFT(C63,3)="09S",LEFT(C63,14),C63)</f>
        <v>NXG54AL0027430673A7600</v>
      </c>
      <c r="E63" s="9" t="str">
        <f aca="false">IF(LEFT(C63,3)="09S",MID(C63,15,5),"")</f>
        <v/>
      </c>
      <c r="F63" s="9" t="n">
        <v>410622</v>
      </c>
      <c r="G63" s="3" t="s">
        <v>382</v>
      </c>
      <c r="H63" s="3" t="str">
        <f aca="false">IFERROR(INDEX(Sistema!$F$2:$F$421,MATCH(D63,Sistema!$G$2:$G$421,0)),"Não encontrado")</f>
        <v>Carrinho 03  ( VERMELHO - CHROME R11 - ED. IN</v>
      </c>
      <c r="I63" s="3" t="str">
        <f aca="false">IFERROR(INDEX(Sistema!$C$2:$C$421,MATCH(D63,Sistema!$G$2:$G$421,0)),"")</f>
        <v>Acer Chromebook R11 (CB5-132T, C738T)</v>
      </c>
      <c r="J63" s="9" t="str">
        <f aca="false">IF(LEFT(C63,3)="09S",IFERROR(MID(INDEX(Sistema!$D$2:$D$421,MATCH(D63,Sistema!$G$2:$G$421,0)),15,5),""),"")</f>
        <v/>
      </c>
      <c r="K63" s="9" t="str">
        <f aca="false">IF(H63="Não encontrado","Não encontrado",IF(H63&lt;&gt;A63,"Local diferente",IF(AND(E63&lt;&gt;"",J63&lt;&gt;"",UPPER(E63)&lt;&gt;UPPER(J63)),"Letra final diferente","Confere")))</f>
        <v>Confere</v>
      </c>
      <c r="L63" s="10"/>
      <c r="M63" s="10"/>
    </row>
    <row r="64" customFormat="false" ht="15" hidden="false" customHeight="false" outlineLevel="0" collapsed="false">
      <c r="A64" s="3" t="s">
        <v>11</v>
      </c>
      <c r="B64" s="9" t="n">
        <v>8</v>
      </c>
      <c r="C64" s="3" t="s">
        <v>390</v>
      </c>
      <c r="D64" s="3" t="str">
        <f aca="false">IF(LEFT(C64,3)="09S",LEFT(C64,14),C64)</f>
        <v>NXG54AL002749005CE7600</v>
      </c>
      <c r="E64" s="9" t="str">
        <f aca="false">IF(LEFT(C64,3)="09S",MID(C64,15,5),"")</f>
        <v/>
      </c>
      <c r="F64" s="9" t="n">
        <v>408738</v>
      </c>
      <c r="G64" s="3" t="s">
        <v>382</v>
      </c>
      <c r="H64" s="3" t="str">
        <f aca="false">IFERROR(INDEX(Sistema!$F$2:$F$421,MATCH(D64,Sistema!$G$2:$G$421,0)),"Não encontrado")</f>
        <v>Carrinho 03  ( VERMELHO - CHROME R11 - ED. IN</v>
      </c>
      <c r="I64" s="3" t="str">
        <f aca="false">IFERROR(INDEX(Sistema!$C$2:$C$421,MATCH(D64,Sistema!$G$2:$G$421,0)),"")</f>
        <v>Acer Chromebook R11 (CB5-132T, C738T)</v>
      </c>
      <c r="J64" s="9" t="str">
        <f aca="false">IF(LEFT(C64,3)="09S",IFERROR(MID(INDEX(Sistema!$D$2:$D$421,MATCH(D64,Sistema!$G$2:$G$421,0)),15,5),""),"")</f>
        <v/>
      </c>
      <c r="K64" s="9" t="str">
        <f aca="false">IF(H64="Não encontrado","Não encontrado",IF(H64&lt;&gt;A64,"Local diferente",IF(AND(E64&lt;&gt;"",J64&lt;&gt;"",UPPER(E64)&lt;&gt;UPPER(J64)),"Letra final diferente","Confere")))</f>
        <v>Confere</v>
      </c>
      <c r="L64" s="10"/>
      <c r="M64" s="10" t="s">
        <v>391</v>
      </c>
    </row>
    <row r="65" customFormat="false" ht="15" hidden="false" customHeight="false" outlineLevel="0" collapsed="false">
      <c r="A65" s="3" t="s">
        <v>11</v>
      </c>
      <c r="B65" s="9" t="n">
        <v>9</v>
      </c>
      <c r="C65" s="3" t="s">
        <v>392</v>
      </c>
      <c r="D65" s="3" t="str">
        <f aca="false">IF(LEFT(C65,3)="09S",LEFT(C65,14),C65)</f>
        <v>NXG54AL002749008FB7600</v>
      </c>
      <c r="E65" s="9" t="str">
        <f aca="false">IF(LEFT(C65,3)="09S",MID(C65,15,5),"")</f>
        <v/>
      </c>
      <c r="F65" s="9" t="n">
        <v>409015</v>
      </c>
      <c r="G65" s="3" t="s">
        <v>382</v>
      </c>
      <c r="H65" s="3" t="str">
        <f aca="false">IFERROR(INDEX(Sistema!$F$2:$F$421,MATCH(D65,Sistema!$G$2:$G$421,0)),"Não encontrado")</f>
        <v>Carrinho 03  ( VERMELHO - CHROME R11 - ED. IN</v>
      </c>
      <c r="I65" s="3" t="str">
        <f aca="false">IFERROR(INDEX(Sistema!$C$2:$C$421,MATCH(D65,Sistema!$G$2:$G$421,0)),"")</f>
        <v>Acer Chromebook R11 (CB5-132T, C738T)</v>
      </c>
      <c r="J65" s="9" t="str">
        <f aca="false">IF(LEFT(C65,3)="09S",IFERROR(MID(INDEX(Sistema!$D$2:$D$421,MATCH(D65,Sistema!$G$2:$G$421,0)),15,5),""),"")</f>
        <v/>
      </c>
      <c r="K65" s="9" t="str">
        <f aca="false">IF(H65="Não encontrado","Não encontrado",IF(H65&lt;&gt;A65,"Local diferente",IF(AND(E65&lt;&gt;"",J65&lt;&gt;"",UPPER(E65)&lt;&gt;UPPER(J65)),"Letra final diferente","Confere")))</f>
        <v>Confere</v>
      </c>
      <c r="L65" s="10"/>
      <c r="M65" s="10"/>
    </row>
    <row r="66" customFormat="false" ht="15" hidden="false" customHeight="false" outlineLevel="0" collapsed="false">
      <c r="A66" s="3" t="s">
        <v>11</v>
      </c>
      <c r="B66" s="9" t="n">
        <v>10</v>
      </c>
      <c r="C66" s="3" t="s">
        <v>393</v>
      </c>
      <c r="D66" s="3" t="str">
        <f aca="false">IF(LEFT(C66,3)="09S",LEFT(C66,14),C66)</f>
        <v>NXG54AL00274817AC17600</v>
      </c>
      <c r="E66" s="9" t="str">
        <f aca="false">IF(LEFT(C66,3)="09S",MID(C66,15,5),"")</f>
        <v/>
      </c>
      <c r="F66" s="9" t="n">
        <v>411601</v>
      </c>
      <c r="G66" s="3" t="s">
        <v>382</v>
      </c>
      <c r="H66" s="3" t="str">
        <f aca="false">IFERROR(INDEX(Sistema!$F$2:$F$421,MATCH(D66,Sistema!$G$2:$G$421,0)),"Não encontrado")</f>
        <v>Carrinho 03  ( VERMELHO - CHROME R11 - ED. IN</v>
      </c>
      <c r="I66" s="3" t="str">
        <f aca="false">IFERROR(INDEX(Sistema!$C$2:$C$421,MATCH(D66,Sistema!$G$2:$G$421,0)),"")</f>
        <v>Acer Chromebook R11 (CB5-132T, C738T)</v>
      </c>
      <c r="J66" s="9" t="str">
        <f aca="false">IF(LEFT(C66,3)="09S",IFERROR(MID(INDEX(Sistema!$D$2:$D$421,MATCH(D66,Sistema!$G$2:$G$421,0)),15,5),""),"")</f>
        <v/>
      </c>
      <c r="K66" s="9" t="str">
        <f aca="false">IF(H66="Não encontrado","Não encontrado",IF(H66&lt;&gt;A66,"Local diferente",IF(AND(E66&lt;&gt;"",J66&lt;&gt;"",UPPER(E66)&lt;&gt;UPPER(J66)),"Letra final diferente","Confere")))</f>
        <v>Confere</v>
      </c>
      <c r="L66" s="10"/>
      <c r="M66" s="10"/>
    </row>
    <row r="67" customFormat="false" ht="15" hidden="false" customHeight="false" outlineLevel="0" collapsed="false">
      <c r="A67" s="3" t="s">
        <v>11</v>
      </c>
      <c r="B67" s="9" t="n">
        <v>11</v>
      </c>
      <c r="C67" s="3" t="s">
        <v>394</v>
      </c>
      <c r="D67" s="3" t="str">
        <f aca="false">IF(LEFT(C67,3)="09S",LEFT(C67,14),C67)</f>
        <v>NXG54AL00274309EE47600</v>
      </c>
      <c r="E67" s="9" t="str">
        <f aca="false">IF(LEFT(C67,3)="09S",MID(C67,15,5),"")</f>
        <v/>
      </c>
      <c r="F67" s="9" t="n">
        <v>411347</v>
      </c>
      <c r="G67" s="3" t="s">
        <v>382</v>
      </c>
      <c r="H67" s="3" t="str">
        <f aca="false">IFERROR(INDEX(Sistema!$F$2:$F$421,MATCH(D67,Sistema!$G$2:$G$421,0)),"Não encontrado")</f>
        <v>Carrinho 03  ( VERMELHO - CHROME R11 - ED. IN</v>
      </c>
      <c r="I67" s="3" t="str">
        <f aca="false">IFERROR(INDEX(Sistema!$C$2:$C$421,MATCH(D67,Sistema!$G$2:$G$421,0)),"")</f>
        <v>Acer Chromebook R11 (CB5-132T, C738T)</v>
      </c>
      <c r="J67" s="9" t="str">
        <f aca="false">IF(LEFT(C67,3)="09S",IFERROR(MID(INDEX(Sistema!$D$2:$D$421,MATCH(D67,Sistema!$G$2:$G$421,0)),15,5),""),"")</f>
        <v/>
      </c>
      <c r="K67" s="9" t="str">
        <f aca="false">IF(H67="Não encontrado","Não encontrado",IF(H67&lt;&gt;A67,"Local diferente",IF(AND(E67&lt;&gt;"",J67&lt;&gt;"",UPPER(E67)&lt;&gt;UPPER(J67)),"Letra final diferente","Confere")))</f>
        <v>Confere</v>
      </c>
      <c r="L67" s="10"/>
      <c r="M67" s="10"/>
    </row>
    <row r="68" customFormat="false" ht="15" hidden="false" customHeight="false" outlineLevel="0" collapsed="false">
      <c r="A68" s="3" t="s">
        <v>11</v>
      </c>
      <c r="B68" s="9" t="n">
        <v>12</v>
      </c>
      <c r="C68" s="3" t="s">
        <v>395</v>
      </c>
      <c r="D68" s="3" t="str">
        <f aca="false">IF(LEFT(C68,3)="09S",LEFT(C68,14),C68)</f>
        <v>NXG54AL002748179CB7600</v>
      </c>
      <c r="E68" s="9" t="str">
        <f aca="false">IF(LEFT(C68,3)="09S",MID(C68,15,5),"")</f>
        <v/>
      </c>
      <c r="F68" s="9" t="s">
        <v>396</v>
      </c>
      <c r="G68" s="3" t="s">
        <v>382</v>
      </c>
      <c r="H68" s="3" t="str">
        <f aca="false">IFERROR(INDEX(Sistema!$F$2:$F$421,MATCH(D68,Sistema!$G$2:$G$421,0)),"Não encontrado")</f>
        <v>Carrinho 03  ( VERMELHO - CHROME R11 - ED. IN</v>
      </c>
      <c r="I68" s="3" t="str">
        <f aca="false">IFERROR(INDEX(Sistema!$C$2:$C$421,MATCH(D68,Sistema!$G$2:$G$421,0)),"")</f>
        <v>Acer Chromebook R11 (CB5-132T, C738T)</v>
      </c>
      <c r="J68" s="9" t="str">
        <f aca="false">IF(LEFT(C68,3)="09S",IFERROR(MID(INDEX(Sistema!$D$2:$D$421,MATCH(D68,Sistema!$G$2:$G$421,0)),15,5),""),"")</f>
        <v/>
      </c>
      <c r="K68" s="9" t="str">
        <f aca="false">IF(H68="Não encontrado","Não encontrado",IF(H68&lt;&gt;A68,"Local diferente",IF(AND(E68&lt;&gt;"",J68&lt;&gt;"",UPPER(E68)&lt;&gt;UPPER(J68)),"Letra final diferente","Confere")))</f>
        <v>Confere</v>
      </c>
      <c r="L68" s="10"/>
      <c r="M68" s="10" t="s">
        <v>397</v>
      </c>
    </row>
    <row r="69" customFormat="false" ht="15" hidden="false" customHeight="false" outlineLevel="0" collapsed="false">
      <c r="A69" s="3" t="s">
        <v>11</v>
      </c>
      <c r="B69" s="9" t="n">
        <v>13</v>
      </c>
      <c r="C69" s="3" t="s">
        <v>398</v>
      </c>
      <c r="D69" s="3" t="str">
        <f aca="false">IF(LEFT(C69,3)="09S",LEFT(C69,14),C69)</f>
        <v>NXG54AL00274817A777600</v>
      </c>
      <c r="E69" s="9" t="str">
        <f aca="false">IF(LEFT(C69,3)="09S",MID(C69,15,5),"")</f>
        <v/>
      </c>
      <c r="F69" s="9" t="n">
        <v>411558</v>
      </c>
      <c r="G69" s="3" t="s">
        <v>382</v>
      </c>
      <c r="H69" s="3" t="str">
        <f aca="false">IFERROR(INDEX(Sistema!$F$2:$F$421,MATCH(D69,Sistema!$G$2:$G$421,0)),"Não encontrado")</f>
        <v>Carrinho 03  ( VERMELHO - CHROME R11 - ED. IN</v>
      </c>
      <c r="I69" s="3" t="str">
        <f aca="false">IFERROR(INDEX(Sistema!$C$2:$C$421,MATCH(D69,Sistema!$G$2:$G$421,0)),"")</f>
        <v>Acer Chromebook R11 (CB5-132T, C738T)</v>
      </c>
      <c r="J69" s="9" t="str">
        <f aca="false">IF(LEFT(C69,3)="09S",IFERROR(MID(INDEX(Sistema!$D$2:$D$421,MATCH(D69,Sistema!$G$2:$G$421,0)),15,5),""),"")</f>
        <v/>
      </c>
      <c r="K69" s="9" t="str">
        <f aca="false">IF(H69="Não encontrado","Não encontrado",IF(H69&lt;&gt;A69,"Local diferente",IF(AND(E69&lt;&gt;"",J69&lt;&gt;"",UPPER(E69)&lt;&gt;UPPER(J69)),"Letra final diferente","Confere")))</f>
        <v>Confere</v>
      </c>
      <c r="L69" s="10"/>
      <c r="M69" s="10"/>
    </row>
    <row r="70" customFormat="false" ht="15" hidden="false" customHeight="false" outlineLevel="0" collapsed="false">
      <c r="A70" s="3" t="s">
        <v>11</v>
      </c>
      <c r="B70" s="9" t="n">
        <v>14</v>
      </c>
      <c r="C70" s="3" t="s">
        <v>399</v>
      </c>
      <c r="D70" s="3" t="str">
        <f aca="false">IF(LEFT(C70,3)="09S",LEFT(C70,14),C70)</f>
        <v>NXG54AL00274309FD77600</v>
      </c>
      <c r="E70" s="9" t="str">
        <f aca="false">IF(LEFT(C70,3)="09S",MID(C70,15,5),"")</f>
        <v/>
      </c>
      <c r="F70" s="9" t="n">
        <v>411341</v>
      </c>
      <c r="G70" s="3" t="s">
        <v>382</v>
      </c>
      <c r="H70" s="3" t="str">
        <f aca="false">IFERROR(INDEX(Sistema!$F$2:$F$421,MATCH(D70,Sistema!$G$2:$G$421,0)),"Não encontrado")</f>
        <v>Carrinho 03  ( VERMELHO - CHROME R11 - ED. IN</v>
      </c>
      <c r="I70" s="3" t="str">
        <f aca="false">IFERROR(INDEX(Sistema!$C$2:$C$421,MATCH(D70,Sistema!$G$2:$G$421,0)),"")</f>
        <v>Acer Chromebook R11 (CB5-132T, C738T)</v>
      </c>
      <c r="J70" s="9" t="str">
        <f aca="false">IF(LEFT(C70,3)="09S",IFERROR(MID(INDEX(Sistema!$D$2:$D$421,MATCH(D70,Sistema!$G$2:$G$421,0)),15,5),""),"")</f>
        <v/>
      </c>
      <c r="K70" s="9" t="str">
        <f aca="false">IF(H70="Não encontrado","Não encontrado",IF(H70&lt;&gt;A70,"Local diferente",IF(AND(E70&lt;&gt;"",J70&lt;&gt;"",UPPER(E70)&lt;&gt;UPPER(J70)),"Letra final diferente","Confere")))</f>
        <v>Confere</v>
      </c>
      <c r="L70" s="10"/>
      <c r="M70" s="10"/>
    </row>
    <row r="71" customFormat="false" ht="26.85" hidden="false" customHeight="false" outlineLevel="0" collapsed="false">
      <c r="A71" s="3" t="s">
        <v>11</v>
      </c>
      <c r="B71" s="9" t="n">
        <v>15</v>
      </c>
      <c r="C71" s="3" t="s">
        <v>400</v>
      </c>
      <c r="D71" s="3" t="str">
        <f aca="false">IF(LEFT(C71,3)="09S",LEFT(C71,14),C71)</f>
        <v>NXG54AL0027430A1067600</v>
      </c>
      <c r="E71" s="9" t="str">
        <f aca="false">IF(LEFT(C71,3)="09S",MID(C71,15,5),"")</f>
        <v/>
      </c>
      <c r="F71" s="9" t="n">
        <v>411263</v>
      </c>
      <c r="G71" s="3" t="s">
        <v>382</v>
      </c>
      <c r="H71" s="3" t="str">
        <f aca="false">IFERROR(INDEX(Sistema!$F$2:$F$421,MATCH(D71,Sistema!$G$2:$G$421,0)),"Não encontrado")</f>
        <v>Carrinho 03  ( VERMELHO - CHROME R11 - ED. IN</v>
      </c>
      <c r="I71" s="3" t="str">
        <f aca="false">IFERROR(INDEX(Sistema!$C$2:$C$421,MATCH(D71,Sistema!$G$2:$G$421,0)),"")</f>
        <v>Acer Chromebook R11 (CB5-132T, C738T)</v>
      </c>
      <c r="J71" s="9" t="str">
        <f aca="false">IF(LEFT(C71,3)="09S",IFERROR(MID(INDEX(Sistema!$D$2:$D$421,MATCH(D71,Sistema!$G$2:$G$421,0)),15,5),""),"")</f>
        <v/>
      </c>
      <c r="K71" s="9" t="str">
        <f aca="false">IF(H71="Não encontrado","Não encontrado",IF(H71&lt;&gt;A71,"Local diferente",IF(AND(E71&lt;&gt;"",J71&lt;&gt;"",UPPER(E71)&lt;&gt;UPPER(J71)),"Letra final diferente","Confere")))</f>
        <v>Confere</v>
      </c>
      <c r="L71" s="10"/>
      <c r="M71" s="10" t="s">
        <v>401</v>
      </c>
    </row>
    <row r="72" customFormat="false" ht="15" hidden="false" customHeight="false" outlineLevel="0" collapsed="false">
      <c r="A72" s="3" t="s">
        <v>11</v>
      </c>
      <c r="B72" s="9" t="n">
        <v>16</v>
      </c>
      <c r="C72" s="3" t="s">
        <v>402</v>
      </c>
      <c r="D72" s="3" t="str">
        <f aca="false">IF(LEFT(C72,3)="09S",LEFT(C72,14),C72)</f>
        <v>NXG54AL002749009BD7600</v>
      </c>
      <c r="E72" s="9" t="str">
        <f aca="false">IF(LEFT(C72,3)="09S",MID(C72,15,5),"")</f>
        <v/>
      </c>
      <c r="F72" s="9" t="n">
        <v>409809</v>
      </c>
      <c r="G72" s="3" t="s">
        <v>382</v>
      </c>
      <c r="H72" s="3" t="str">
        <f aca="false">IFERROR(INDEX(Sistema!$F$2:$F$421,MATCH(D72,Sistema!$G$2:$G$421,0)),"Não encontrado")</f>
        <v>Carrinho 03  ( VERMELHO - CHROME R11 - ED. IN</v>
      </c>
      <c r="I72" s="3" t="str">
        <f aca="false">IFERROR(INDEX(Sistema!$C$2:$C$421,MATCH(D72,Sistema!$G$2:$G$421,0)),"")</f>
        <v>Acer Chromebook R11 (CB5-132T, C738T)</v>
      </c>
      <c r="J72" s="9" t="str">
        <f aca="false">IF(LEFT(C72,3)="09S",IFERROR(MID(INDEX(Sistema!$D$2:$D$421,MATCH(D72,Sistema!$G$2:$G$421,0)),15,5),""),"")</f>
        <v/>
      </c>
      <c r="K72" s="9" t="str">
        <f aca="false">IF(H72="Não encontrado","Não encontrado",IF(H72&lt;&gt;A72,"Local diferente",IF(AND(E72&lt;&gt;"",J72&lt;&gt;"",UPPER(E72)&lt;&gt;UPPER(J72)),"Letra final diferente","Confere")))</f>
        <v>Confere</v>
      </c>
      <c r="L72" s="10"/>
      <c r="M72" s="10"/>
    </row>
    <row r="73" customFormat="false" ht="15" hidden="false" customHeight="false" outlineLevel="0" collapsed="false">
      <c r="A73" s="3" t="s">
        <v>11</v>
      </c>
      <c r="B73" s="9" t="n">
        <v>17</v>
      </c>
      <c r="C73" s="3" t="s">
        <v>403</v>
      </c>
      <c r="D73" s="3" t="str">
        <f aca="false">IF(LEFT(C73,3)="09S",LEFT(C73,14),C73)</f>
        <v>NXG54AL002749005F57600</v>
      </c>
      <c r="E73" s="9" t="str">
        <f aca="false">IF(LEFT(C73,3)="09S",MID(C73,15,5),"")</f>
        <v/>
      </c>
      <c r="F73" s="9" t="n">
        <v>409996</v>
      </c>
      <c r="G73" s="3" t="s">
        <v>382</v>
      </c>
      <c r="H73" s="3" t="str">
        <f aca="false">IFERROR(INDEX(Sistema!$F$2:$F$421,MATCH(D73,Sistema!$G$2:$G$421,0)),"Não encontrado")</f>
        <v>Carrinho 03  ( VERMELHO - CHROME R11 - ED. IN</v>
      </c>
      <c r="I73" s="3" t="str">
        <f aca="false">IFERROR(INDEX(Sistema!$C$2:$C$421,MATCH(D73,Sistema!$G$2:$G$421,0)),"")</f>
        <v>Acer Chromebook R11 (CB5-132T, C738T)</v>
      </c>
      <c r="J73" s="9" t="str">
        <f aca="false">IF(LEFT(C73,3)="09S",IFERROR(MID(INDEX(Sistema!$D$2:$D$421,MATCH(D73,Sistema!$G$2:$G$421,0)),15,5),""),"")</f>
        <v/>
      </c>
      <c r="K73" s="9" t="str">
        <f aca="false">IF(H73="Não encontrado","Não encontrado",IF(H73&lt;&gt;A73,"Local diferente",IF(AND(E73&lt;&gt;"",J73&lt;&gt;"",UPPER(E73)&lt;&gt;UPPER(J73)),"Letra final diferente","Confere")))</f>
        <v>Confere</v>
      </c>
      <c r="L73" s="10"/>
      <c r="M73" s="10" t="s">
        <v>404</v>
      </c>
    </row>
    <row r="74" customFormat="false" ht="15" hidden="false" customHeight="false" outlineLevel="0" collapsed="false">
      <c r="A74" s="3" t="s">
        <v>11</v>
      </c>
      <c r="B74" s="9" t="n">
        <v>18</v>
      </c>
      <c r="C74" s="3" t="s">
        <v>405</v>
      </c>
      <c r="D74" s="3" t="str">
        <f aca="false">IF(LEFT(C74,3)="09S",LEFT(C74,14),C74)</f>
        <v>NXG54AL002748178867600</v>
      </c>
      <c r="E74" s="9" t="str">
        <f aca="false">IF(LEFT(C74,3)="09S",MID(C74,15,5),"")</f>
        <v/>
      </c>
      <c r="F74" s="9" t="n">
        <v>408536</v>
      </c>
      <c r="G74" s="3" t="s">
        <v>382</v>
      </c>
      <c r="H74" s="3" t="str">
        <f aca="false">IFERROR(INDEX(Sistema!$F$2:$F$421,MATCH(D74,Sistema!$G$2:$G$421,0)),"Não encontrado")</f>
        <v>Carrinho 03  ( VERMELHO - CHROME R11 - ED. IN</v>
      </c>
      <c r="I74" s="3" t="str">
        <f aca="false">IFERROR(INDEX(Sistema!$C$2:$C$421,MATCH(D74,Sistema!$G$2:$G$421,0)),"")</f>
        <v>Acer Chromebook R11 (CB5-132T, C738T)</v>
      </c>
      <c r="J74" s="9" t="str">
        <f aca="false">IF(LEFT(C74,3)="09S",IFERROR(MID(INDEX(Sistema!$D$2:$D$421,MATCH(D74,Sistema!$G$2:$G$421,0)),15,5),""),"")</f>
        <v/>
      </c>
      <c r="K74" s="9" t="str">
        <f aca="false">IF(H74="Não encontrado","Não encontrado",IF(H74&lt;&gt;A74,"Local diferente",IF(AND(E74&lt;&gt;"",J74&lt;&gt;"",UPPER(E74)&lt;&gt;UPPER(J74)),"Letra final diferente","Confere")))</f>
        <v>Confere</v>
      </c>
      <c r="L74" s="10"/>
      <c r="M74" s="10"/>
    </row>
    <row r="75" customFormat="false" ht="15" hidden="false" customHeight="false" outlineLevel="0" collapsed="false">
      <c r="A75" s="3" t="s">
        <v>11</v>
      </c>
      <c r="B75" s="9" t="n">
        <v>19</v>
      </c>
      <c r="C75" s="3" t="s">
        <v>406</v>
      </c>
      <c r="D75" s="3" t="str">
        <f aca="false">IF(LEFT(C75,3)="09S",LEFT(C75,14),C75)</f>
        <v>NXG54AL00274817A6C7600</v>
      </c>
      <c r="E75" s="9" t="str">
        <f aca="false">IF(LEFT(C75,3)="09S",MID(C75,15,5),"")</f>
        <v/>
      </c>
      <c r="F75" s="9" t="n">
        <v>409825</v>
      </c>
      <c r="G75" s="3" t="s">
        <v>382</v>
      </c>
      <c r="H75" s="3" t="str">
        <f aca="false">IFERROR(INDEX(Sistema!$F$2:$F$421,MATCH(D75,Sistema!$G$2:$G$421,0)),"Não encontrado")</f>
        <v>Carrinho 03  ( VERMELHO - CHROME R11 - ED. IN</v>
      </c>
      <c r="I75" s="3" t="str">
        <f aca="false">IFERROR(INDEX(Sistema!$C$2:$C$421,MATCH(D75,Sistema!$G$2:$G$421,0)),"")</f>
        <v>Acer Chromebook R11 (CB5-132T, C738T)</v>
      </c>
      <c r="J75" s="9" t="str">
        <f aca="false">IF(LEFT(C75,3)="09S",IFERROR(MID(INDEX(Sistema!$D$2:$D$421,MATCH(D75,Sistema!$G$2:$G$421,0)),15,5),""),"")</f>
        <v/>
      </c>
      <c r="K75" s="9" t="str">
        <f aca="false">IF(H75="Não encontrado","Não encontrado",IF(H75&lt;&gt;A75,"Local diferente",IF(AND(E75&lt;&gt;"",J75&lt;&gt;"",UPPER(E75)&lt;&gt;UPPER(J75)),"Letra final diferente","Confere")))</f>
        <v>Confere</v>
      </c>
      <c r="L75" s="10"/>
      <c r="M75" s="10"/>
    </row>
    <row r="76" customFormat="false" ht="15" hidden="false" customHeight="false" outlineLevel="0" collapsed="false">
      <c r="A76" s="3" t="s">
        <v>11</v>
      </c>
      <c r="B76" s="9" t="n">
        <v>20</v>
      </c>
      <c r="C76" s="3" t="s">
        <v>407</v>
      </c>
      <c r="D76" s="3" t="str">
        <f aca="false">IF(LEFT(C76,3)="09S",LEFT(C76,14),C76)</f>
        <v>NXG54AL002743064D87600</v>
      </c>
      <c r="E76" s="9" t="str">
        <f aca="false">IF(LEFT(C76,3)="09S",MID(C76,15,5),"")</f>
        <v/>
      </c>
      <c r="F76" s="9" t="n">
        <v>411327</v>
      </c>
      <c r="G76" s="3" t="s">
        <v>382</v>
      </c>
      <c r="H76" s="3" t="str">
        <f aca="false">IFERROR(INDEX(Sistema!$F$2:$F$421,MATCH(D76,Sistema!$G$2:$G$421,0)),"Não encontrado")</f>
        <v>Carrinho 03  ( VERMELHO - CHROME R11 - ED. IN</v>
      </c>
      <c r="I76" s="3" t="str">
        <f aca="false">IFERROR(INDEX(Sistema!$C$2:$C$421,MATCH(D76,Sistema!$G$2:$G$421,0)),"")</f>
        <v>Acer Chromebook R11 (CB5-132T, C738T)</v>
      </c>
      <c r="J76" s="9" t="str">
        <f aca="false">IF(LEFT(C76,3)="09S",IFERROR(MID(INDEX(Sistema!$D$2:$D$421,MATCH(D76,Sistema!$G$2:$G$421,0)),15,5),""),"")</f>
        <v/>
      </c>
      <c r="K76" s="9" t="str">
        <f aca="false">IF(H76="Não encontrado","Não encontrado",IF(H76&lt;&gt;A76,"Local diferente",IF(AND(E76&lt;&gt;"",J76&lt;&gt;"",UPPER(E76)&lt;&gt;UPPER(J76)),"Letra final diferente","Confere")))</f>
        <v>Confere</v>
      </c>
      <c r="L76" s="10"/>
      <c r="M76" s="10"/>
    </row>
    <row r="77" customFormat="false" ht="15" hidden="false" customHeight="false" outlineLevel="0" collapsed="false">
      <c r="A77" s="3" t="s">
        <v>11</v>
      </c>
      <c r="B77" s="9" t="n">
        <v>21</v>
      </c>
      <c r="C77" s="3" t="s">
        <v>408</v>
      </c>
      <c r="D77" s="3" t="str">
        <f aca="false">IF(LEFT(C77,3)="09S",LEFT(C77,14),C77)</f>
        <v>NXG54AL0027430648F7600</v>
      </c>
      <c r="E77" s="9" t="str">
        <f aca="false">IF(LEFT(C77,3)="09S",MID(C77,15,5),"")</f>
        <v/>
      </c>
      <c r="F77" s="9" t="n">
        <v>408561</v>
      </c>
      <c r="G77" s="3" t="s">
        <v>382</v>
      </c>
      <c r="H77" s="3" t="str">
        <f aca="false">IFERROR(INDEX(Sistema!$F$2:$F$421,MATCH(D77,Sistema!$G$2:$G$421,0)),"Não encontrado")</f>
        <v>Carrinho 03  ( VERMELHO - CHROME R11 - ED. IN</v>
      </c>
      <c r="I77" s="3" t="str">
        <f aca="false">IFERROR(INDEX(Sistema!$C$2:$C$421,MATCH(D77,Sistema!$G$2:$G$421,0)),"")</f>
        <v>Acer Chromebook R11 (CB5-132T, C738T)</v>
      </c>
      <c r="J77" s="9" t="str">
        <f aca="false">IF(LEFT(C77,3)="09S",IFERROR(MID(INDEX(Sistema!$D$2:$D$421,MATCH(D77,Sistema!$G$2:$G$421,0)),15,5),""),"")</f>
        <v/>
      </c>
      <c r="K77" s="9" t="str">
        <f aca="false">IF(H77="Não encontrado","Não encontrado",IF(H77&lt;&gt;A77,"Local diferente",IF(AND(E77&lt;&gt;"",J77&lt;&gt;"",UPPER(E77)&lt;&gt;UPPER(J77)),"Letra final diferente","Confere")))</f>
        <v>Confere</v>
      </c>
      <c r="L77" s="10"/>
      <c r="M77" s="10"/>
    </row>
    <row r="78" customFormat="false" ht="15" hidden="false" customHeight="false" outlineLevel="0" collapsed="false">
      <c r="A78" s="3" t="s">
        <v>11</v>
      </c>
      <c r="B78" s="9" t="n">
        <v>22</v>
      </c>
      <c r="C78" s="3" t="s">
        <v>409</v>
      </c>
      <c r="D78" s="3" t="str">
        <f aca="false">IF(LEFT(C78,3)="09S",LEFT(C78,14),C78)</f>
        <v>NXG54AL002749056B37600</v>
      </c>
      <c r="E78" s="9" t="str">
        <f aca="false">IF(LEFT(C78,3)="09S",MID(C78,15,5),"")</f>
        <v/>
      </c>
      <c r="F78" s="9" t="n">
        <v>411702</v>
      </c>
      <c r="G78" s="3" t="s">
        <v>382</v>
      </c>
      <c r="H78" s="3" t="str">
        <f aca="false">IFERROR(INDEX(Sistema!$F$2:$F$421,MATCH(D78,Sistema!$G$2:$G$421,0)),"Não encontrado")</f>
        <v>Carrinho 03  ( VERMELHO - CHROME R11 - ED. IN</v>
      </c>
      <c r="I78" s="3" t="str">
        <f aca="false">IFERROR(INDEX(Sistema!$C$2:$C$421,MATCH(D78,Sistema!$G$2:$G$421,0)),"")</f>
        <v>Acer Chromebook R11 (CB5-132T, C738T)</v>
      </c>
      <c r="J78" s="9" t="str">
        <f aca="false">IF(LEFT(C78,3)="09S",IFERROR(MID(INDEX(Sistema!$D$2:$D$421,MATCH(D78,Sistema!$G$2:$G$421,0)),15,5),""),"")</f>
        <v/>
      </c>
      <c r="K78" s="9" t="str">
        <f aca="false">IF(H78="Não encontrado","Não encontrado",IF(H78&lt;&gt;A78,"Local diferente",IF(AND(E78&lt;&gt;"",J78&lt;&gt;"",UPPER(E78)&lt;&gt;UPPER(J78)),"Letra final diferente","Confere")))</f>
        <v>Confere</v>
      </c>
      <c r="L78" s="10"/>
      <c r="M78" s="10"/>
    </row>
    <row r="79" customFormat="false" ht="15" hidden="false" customHeight="false" outlineLevel="0" collapsed="false">
      <c r="A79" s="3" t="s">
        <v>11</v>
      </c>
      <c r="B79" s="9" t="n">
        <v>23</v>
      </c>
      <c r="C79" s="3" t="s">
        <v>410</v>
      </c>
      <c r="D79" s="3" t="str">
        <f aca="false">IF(LEFT(C79,3)="09S",LEFT(C79,14),C79)</f>
        <v>NXG54AL002743067C47600</v>
      </c>
      <c r="E79" s="9" t="str">
        <f aca="false">IF(LEFT(C79,3)="09S",MID(C79,15,5),"")</f>
        <v/>
      </c>
      <c r="F79" s="9" t="n">
        <v>411386</v>
      </c>
      <c r="G79" s="3" t="s">
        <v>382</v>
      </c>
      <c r="H79" s="3" t="str">
        <f aca="false">IFERROR(INDEX(Sistema!$F$2:$F$421,MATCH(D79,Sistema!$G$2:$G$421,0)),"Não encontrado")</f>
        <v>Carrinho 03  ( VERMELHO - CHROME R11 - ED. IN</v>
      </c>
      <c r="I79" s="3" t="str">
        <f aca="false">IFERROR(INDEX(Sistema!$C$2:$C$421,MATCH(D79,Sistema!$G$2:$G$421,0)),"")</f>
        <v>Acer Chromebook R11 (CB5-132T, C738T)</v>
      </c>
      <c r="J79" s="9" t="str">
        <f aca="false">IF(LEFT(C79,3)="09S",IFERROR(MID(INDEX(Sistema!$D$2:$D$421,MATCH(D79,Sistema!$G$2:$G$421,0)),15,5),""),"")</f>
        <v/>
      </c>
      <c r="K79" s="9" t="str">
        <f aca="false">IF(H79="Não encontrado","Não encontrado",IF(H79&lt;&gt;A79,"Local diferente",IF(AND(E79&lt;&gt;"",J79&lt;&gt;"",UPPER(E79)&lt;&gt;UPPER(J79)),"Letra final diferente","Confere")))</f>
        <v>Confere</v>
      </c>
      <c r="L79" s="10"/>
      <c r="M79" s="10"/>
    </row>
    <row r="80" customFormat="false" ht="15" hidden="false" customHeight="false" outlineLevel="0" collapsed="false">
      <c r="A80" s="3" t="s">
        <v>11</v>
      </c>
      <c r="B80" s="9" t="n">
        <v>24</v>
      </c>
      <c r="C80" s="3" t="s">
        <v>411</v>
      </c>
      <c r="D80" s="3" t="str">
        <f aca="false">IF(LEFT(C80,3)="09S",LEFT(C80,14),C80)</f>
        <v>NXG54AL002749007507600</v>
      </c>
      <c r="E80" s="9" t="str">
        <f aca="false">IF(LEFT(C80,3)="09S",MID(C80,15,5),"")</f>
        <v/>
      </c>
      <c r="F80" s="9" t="n">
        <v>411513</v>
      </c>
      <c r="G80" s="3" t="s">
        <v>382</v>
      </c>
      <c r="H80" s="3" t="str">
        <f aca="false">IFERROR(INDEX(Sistema!$F$2:$F$421,MATCH(D80,Sistema!$G$2:$G$421,0)),"Não encontrado")</f>
        <v>Carrinho 03  ( VERMELHO - CHROME R11 - ED. IN</v>
      </c>
      <c r="I80" s="3" t="str">
        <f aca="false">IFERROR(INDEX(Sistema!$C$2:$C$421,MATCH(D80,Sistema!$G$2:$G$421,0)),"")</f>
        <v>Acer Chromebook R11 (CB5-132T, C738T)</v>
      </c>
      <c r="J80" s="9" t="str">
        <f aca="false">IF(LEFT(C80,3)="09S",IFERROR(MID(INDEX(Sistema!$D$2:$D$421,MATCH(D80,Sistema!$G$2:$G$421,0)),15,5),""),"")</f>
        <v/>
      </c>
      <c r="K80" s="9" t="str">
        <f aca="false">IF(H80="Não encontrado","Não encontrado",IF(H80&lt;&gt;A80,"Local diferente",IF(AND(E80&lt;&gt;"",J80&lt;&gt;"",UPPER(E80)&lt;&gt;UPPER(J80)),"Letra final diferente","Confere")))</f>
        <v>Confere</v>
      </c>
      <c r="L80" s="10"/>
      <c r="M80" s="10"/>
    </row>
    <row r="81" customFormat="false" ht="26.85" hidden="false" customHeight="false" outlineLevel="0" collapsed="false">
      <c r="A81" s="3" t="s">
        <v>11</v>
      </c>
      <c r="B81" s="9" t="n">
        <v>25</v>
      </c>
      <c r="C81" s="3" t="s">
        <v>412</v>
      </c>
      <c r="D81" s="3" t="str">
        <f aca="false">IF(LEFT(C81,3)="09S",LEFT(C81,14),C81)</f>
        <v>NXG54AL002743065F17600</v>
      </c>
      <c r="E81" s="9" t="str">
        <f aca="false">IF(LEFT(C81,3)="09S",MID(C81,15,5),"")</f>
        <v/>
      </c>
      <c r="F81" s="9" t="s">
        <v>396</v>
      </c>
      <c r="G81" s="3" t="s">
        <v>382</v>
      </c>
      <c r="H81" s="3" t="str">
        <f aca="false">IFERROR(INDEX(Sistema!$F$2:$F$421,MATCH(D81,Sistema!$G$2:$G$421,0)),"Não encontrado")</f>
        <v>Carrinho 03  ( VERMELHO - CHROME R11 - ED. IN</v>
      </c>
      <c r="I81" s="3" t="str">
        <f aca="false">IFERROR(INDEX(Sistema!$C$2:$C$421,MATCH(D81,Sistema!$G$2:$G$421,0)),"")</f>
        <v>Acer Chromebook R11 (CB5-132T, C738T)</v>
      </c>
      <c r="J81" s="9" t="str">
        <f aca="false">IF(LEFT(C81,3)="09S",IFERROR(MID(INDEX(Sistema!$D$2:$D$421,MATCH(D81,Sistema!$G$2:$G$421,0)),15,5),""),"")</f>
        <v/>
      </c>
      <c r="K81" s="9" t="str">
        <f aca="false">IF(H81="Não encontrado","Não encontrado",IF(H81&lt;&gt;A81,"Local diferente",IF(AND(E81&lt;&gt;"",J81&lt;&gt;"",UPPER(E81)&lt;&gt;UPPER(J81)),"Letra final diferente","Confere")))</f>
        <v>Confere</v>
      </c>
      <c r="L81" s="10"/>
      <c r="M81" s="10" t="s">
        <v>413</v>
      </c>
    </row>
    <row r="82" customFormat="false" ht="39.55" hidden="false" customHeight="false" outlineLevel="0" collapsed="false">
      <c r="A82" s="3" t="s">
        <v>11</v>
      </c>
      <c r="B82" s="9" t="n">
        <v>26</v>
      </c>
      <c r="C82" s="3" t="s">
        <v>71</v>
      </c>
      <c r="D82" s="3" t="str">
        <f aca="false">IF(LEFT(C82,3)="09S",LEFT(C82,14),C82)</f>
        <v>NXH0HAL001830D18D69501</v>
      </c>
      <c r="E82" s="9" t="str">
        <f aca="false">IF(LEFT(C82,3)="09S",MID(C82,15,5),"")</f>
        <v/>
      </c>
      <c r="F82" s="9" t="n">
        <v>414451</v>
      </c>
      <c r="G82" s="3" t="s">
        <v>414</v>
      </c>
      <c r="H82" s="3" t="str">
        <f aca="false">IFERROR(INDEX(Sistema!$F$2:$F$421,MATCH(D82,Sistema!$G$2:$G$421,0)),"Não encontrado")</f>
        <v>CARRINHO RESERVA</v>
      </c>
      <c r="I82" s="3" t="str">
        <f aca="false">IFERROR(INDEX(Sistema!$C$2:$C$421,MATCH(D82,Sistema!$G$2:$G$421,0)),"")</f>
        <v>Acer Chromebook 11 N7 (C731, C731T)</v>
      </c>
      <c r="J82" s="9" t="str">
        <f aca="false">IF(LEFT(C82,3)="09S",IFERROR(MID(INDEX(Sistema!$D$2:$D$421,MATCH(D82,Sistema!$G$2:$G$421,0)),15,5),""),"")</f>
        <v/>
      </c>
      <c r="K82" s="9" t="str">
        <f aca="false">IF(H82="Não encontrado","Não encontrado",IF(H82&lt;&gt;A82,"Local diferente",IF(AND(E82&lt;&gt;"",J82&lt;&gt;"",UPPER(E82)&lt;&gt;UPPER(J82)),"Letra final diferente","Confere")))</f>
        <v>Local diferente</v>
      </c>
      <c r="L82" s="10" t="s">
        <v>415</v>
      </c>
      <c r="M82" s="10" t="s">
        <v>416</v>
      </c>
    </row>
    <row r="83" customFormat="false" ht="15" hidden="false" customHeight="false" outlineLevel="0" collapsed="false">
      <c r="A83" s="3" t="s">
        <v>12</v>
      </c>
      <c r="B83" s="9" t="n">
        <v>1</v>
      </c>
      <c r="C83" s="3" t="s">
        <v>417</v>
      </c>
      <c r="D83" s="3" t="str">
        <f aca="false">IF(LEFT(C83,3)="09S",LEFT(C83,14),C83)</f>
        <v>NXH0HAL001838E762A9501</v>
      </c>
      <c r="E83" s="9" t="str">
        <f aca="false">IF(LEFT(C83,3)="09S",MID(C83,15,5),"")</f>
        <v/>
      </c>
      <c r="F83" s="9" t="n">
        <v>415379</v>
      </c>
      <c r="G83" s="3" t="s">
        <v>328</v>
      </c>
      <c r="H83" s="3" t="str">
        <f aca="false">IFERROR(INDEX(Sistema!$F$2:$F$421,MATCH(D83,Sistema!$G$2:$G$421,0)),"Não encontrado")</f>
        <v>Carrinho 04 ( LARANJA )</v>
      </c>
      <c r="I83" s="3" t="str">
        <f aca="false">IFERROR(INDEX(Sistema!$C$2:$C$421,MATCH(D83,Sistema!$G$2:$G$421,0)),"")</f>
        <v>Acer Chromebook 11 N7 (C731, C731T)</v>
      </c>
      <c r="J83" s="9" t="str">
        <f aca="false">IF(LEFT(C83,3)="09S",IFERROR(MID(INDEX(Sistema!$D$2:$D$421,MATCH(D83,Sistema!$G$2:$G$421,0)),15,5),""),"")</f>
        <v/>
      </c>
      <c r="K83" s="9" t="str">
        <f aca="false">IF(H83="Não encontrado","Não encontrado",IF(H83&lt;&gt;A83,"Local diferente",IF(AND(E83&lt;&gt;"",J83&lt;&gt;"",UPPER(E83)&lt;&gt;UPPER(J83)),"Letra final diferente","Confere")))</f>
        <v>Confere</v>
      </c>
      <c r="L83" s="10"/>
      <c r="M83" s="10" t="s">
        <v>418</v>
      </c>
    </row>
    <row r="84" customFormat="false" ht="15" hidden="false" customHeight="false" outlineLevel="0" collapsed="false">
      <c r="A84" s="3" t="s">
        <v>12</v>
      </c>
      <c r="B84" s="9" t="n">
        <v>2</v>
      </c>
      <c r="C84" s="3" t="s">
        <v>419</v>
      </c>
      <c r="D84" s="3" t="str">
        <f aca="false">IF(LEFT(C84,3)="09S",LEFT(C84,14),C84)</f>
        <v>NXH0HAL001838E76809501</v>
      </c>
      <c r="E84" s="9" t="str">
        <f aca="false">IF(LEFT(C84,3)="09S",MID(C84,15,5),"")</f>
        <v/>
      </c>
      <c r="F84" s="9" t="n">
        <v>415335</v>
      </c>
      <c r="G84" s="3" t="s">
        <v>328</v>
      </c>
      <c r="H84" s="3" t="str">
        <f aca="false">IFERROR(INDEX(Sistema!$F$2:$F$421,MATCH(D84,Sistema!$G$2:$G$421,0)),"Não encontrado")</f>
        <v>Carrinho 04 ( LARANJA )</v>
      </c>
      <c r="I84" s="3" t="str">
        <f aca="false">IFERROR(INDEX(Sistema!$C$2:$C$421,MATCH(D84,Sistema!$G$2:$G$421,0)),"")</f>
        <v>Acer Chromebook 11 N7 (C731, C731T)</v>
      </c>
      <c r="J84" s="9" t="str">
        <f aca="false">IF(LEFT(C84,3)="09S",IFERROR(MID(INDEX(Sistema!$D$2:$D$421,MATCH(D84,Sistema!$G$2:$G$421,0)),15,5),""),"")</f>
        <v/>
      </c>
      <c r="K84" s="9" t="str">
        <f aca="false">IF(H84="Não encontrado","Não encontrado",IF(H84&lt;&gt;A84,"Local diferente",IF(AND(E84&lt;&gt;"",J84&lt;&gt;"",UPPER(E84)&lt;&gt;UPPER(J84)),"Letra final diferente","Confere")))</f>
        <v>Confere</v>
      </c>
      <c r="L84" s="10"/>
      <c r="M84" s="10"/>
    </row>
    <row r="85" customFormat="false" ht="15" hidden="false" customHeight="false" outlineLevel="0" collapsed="false">
      <c r="A85" s="3" t="s">
        <v>12</v>
      </c>
      <c r="B85" s="9" t="n">
        <v>3</v>
      </c>
      <c r="C85" s="3" t="s">
        <v>420</v>
      </c>
      <c r="D85" s="3" t="str">
        <f aca="false">IF(LEFT(C85,3)="09S",LEFT(C85,14),C85)</f>
        <v>NXH0HAL001838E6ACA9501</v>
      </c>
      <c r="E85" s="9" t="str">
        <f aca="false">IF(LEFT(C85,3)="09S",MID(C85,15,5),"")</f>
        <v/>
      </c>
      <c r="F85" s="9" t="n">
        <v>415293</v>
      </c>
      <c r="G85" s="3" t="s">
        <v>328</v>
      </c>
      <c r="H85" s="3" t="str">
        <f aca="false">IFERROR(INDEX(Sistema!$F$2:$F$421,MATCH(D85,Sistema!$G$2:$G$421,0)),"Não encontrado")</f>
        <v>Carrinho 04 ( LARANJA )</v>
      </c>
      <c r="I85" s="3" t="str">
        <f aca="false">IFERROR(INDEX(Sistema!$C$2:$C$421,MATCH(D85,Sistema!$G$2:$G$421,0)),"")</f>
        <v>Acer Chromebook 11 N7 (C731, C731T)</v>
      </c>
      <c r="J85" s="9" t="str">
        <f aca="false">IF(LEFT(C85,3)="09S",IFERROR(MID(INDEX(Sistema!$D$2:$D$421,MATCH(D85,Sistema!$G$2:$G$421,0)),15,5),""),"")</f>
        <v/>
      </c>
      <c r="K85" s="9" t="str">
        <f aca="false">IF(H85="Não encontrado","Não encontrado",IF(H85&lt;&gt;A85,"Local diferente",IF(AND(E85&lt;&gt;"",J85&lt;&gt;"",UPPER(E85)&lt;&gt;UPPER(J85)),"Letra final diferente","Confere")))</f>
        <v>Confere</v>
      </c>
      <c r="L85" s="10"/>
      <c r="M85" s="10"/>
    </row>
    <row r="86" customFormat="false" ht="26.85" hidden="false" customHeight="false" outlineLevel="0" collapsed="false">
      <c r="A86" s="3" t="s">
        <v>12</v>
      </c>
      <c r="B86" s="9" t="n">
        <v>4</v>
      </c>
      <c r="C86" s="3" t="s">
        <v>83</v>
      </c>
      <c r="D86" s="3" t="str">
        <f aca="false">IF(LEFT(C86,3)="09S",LEFT(C86,14),C86)</f>
        <v>NXH0HAL001830D1FAB9501</v>
      </c>
      <c r="E86" s="9" t="str">
        <f aca="false">IF(LEFT(C86,3)="09S",MID(C86,15,5),"")</f>
        <v/>
      </c>
      <c r="F86" s="9" t="n">
        <v>414345</v>
      </c>
      <c r="G86" s="3" t="s">
        <v>328</v>
      </c>
      <c r="H86" s="3" t="str">
        <f aca="false">IFERROR(INDEX(Sistema!$F$2:$F$421,MATCH(D86,Sistema!$G$2:$G$421,0)),"Não encontrado")</f>
        <v>Carrinho 01 ( AZUL)</v>
      </c>
      <c r="I86" s="3" t="str">
        <f aca="false">IFERROR(INDEX(Sistema!$C$2:$C$421,MATCH(D86,Sistema!$G$2:$G$421,0)),"")</f>
        <v>Acer Chromebook 11 N7 (C731, C731T)</v>
      </c>
      <c r="J86" s="9" t="str">
        <f aca="false">IF(LEFT(C86,3)="09S",IFERROR(MID(INDEX(Sistema!$D$2:$D$421,MATCH(D86,Sistema!$G$2:$G$421,0)),15,5),""),"")</f>
        <v/>
      </c>
      <c r="K86" s="9" t="str">
        <f aca="false">IF(H86="Não encontrado","Não encontrado",IF(H86&lt;&gt;A86,"Local diferente",IF(AND(E86&lt;&gt;"",J86&lt;&gt;"",UPPER(E86)&lt;&gt;UPPER(J86)),"Letra final diferente","Confere")))</f>
        <v>Local diferente</v>
      </c>
      <c r="L86" s="10" t="s">
        <v>421</v>
      </c>
      <c r="M86" s="10"/>
    </row>
    <row r="87" customFormat="false" ht="15" hidden="false" customHeight="false" outlineLevel="0" collapsed="false">
      <c r="A87" s="3" t="s">
        <v>12</v>
      </c>
      <c r="B87" s="9" t="n">
        <v>5</v>
      </c>
      <c r="C87" s="3" t="s">
        <v>422</v>
      </c>
      <c r="D87" s="3" t="str">
        <f aca="false">IF(LEFT(C87,3)="09S",LEFT(C87,14),C87)</f>
        <v>NXH0HAL001832D671C9501</v>
      </c>
      <c r="E87" s="9" t="str">
        <f aca="false">IF(LEFT(C87,3)="09S",MID(C87,15,5),"")</f>
        <v/>
      </c>
      <c r="F87" s="9" t="n">
        <v>413896</v>
      </c>
      <c r="G87" s="3" t="s">
        <v>328</v>
      </c>
      <c r="H87" s="3" t="str">
        <f aca="false">IFERROR(INDEX(Sistema!$F$2:$F$421,MATCH(D87,Sistema!$G$2:$G$421,0)),"Não encontrado")</f>
        <v>Carrinho 04 ( LARANJA )</v>
      </c>
      <c r="I87" s="3" t="str">
        <f aca="false">IFERROR(INDEX(Sistema!$C$2:$C$421,MATCH(D87,Sistema!$G$2:$G$421,0)),"")</f>
        <v>Acer Chromebook 11 N7 (C731, C731T)</v>
      </c>
      <c r="J87" s="9" t="str">
        <f aca="false">IF(LEFT(C87,3)="09S",IFERROR(MID(INDEX(Sistema!$D$2:$D$421,MATCH(D87,Sistema!$G$2:$G$421,0)),15,5),""),"")</f>
        <v/>
      </c>
      <c r="K87" s="9" t="str">
        <f aca="false">IF(H87="Não encontrado","Não encontrado",IF(H87&lt;&gt;A87,"Local diferente",IF(AND(E87&lt;&gt;"",J87&lt;&gt;"",UPPER(E87)&lt;&gt;UPPER(J87)),"Letra final diferente","Confere")))</f>
        <v>Confere</v>
      </c>
      <c r="L87" s="10"/>
      <c r="M87" s="10"/>
    </row>
    <row r="88" customFormat="false" ht="15" hidden="false" customHeight="false" outlineLevel="0" collapsed="false">
      <c r="A88" s="3" t="s">
        <v>12</v>
      </c>
      <c r="B88" s="9" t="n">
        <v>6</v>
      </c>
      <c r="C88" s="3" t="s">
        <v>423</v>
      </c>
      <c r="D88" s="3" t="str">
        <f aca="false">IF(LEFT(C88,3)="09S",LEFT(C88,14),C88)</f>
        <v>NXH0HAL001832D6A819501</v>
      </c>
      <c r="E88" s="9" t="str">
        <f aca="false">IF(LEFT(C88,3)="09S",MID(C88,15,5),"")</f>
        <v/>
      </c>
      <c r="F88" s="9" t="n">
        <v>413936</v>
      </c>
      <c r="G88" s="3" t="s">
        <v>328</v>
      </c>
      <c r="H88" s="3" t="str">
        <f aca="false">IFERROR(INDEX(Sistema!$F$2:$F$421,MATCH(D88,Sistema!$G$2:$G$421,0)),"Não encontrado")</f>
        <v>Carrinho 04 ( LARANJA )</v>
      </c>
      <c r="I88" s="3" t="str">
        <f aca="false">IFERROR(INDEX(Sistema!$C$2:$C$421,MATCH(D88,Sistema!$G$2:$G$421,0)),"")</f>
        <v>Acer Chromebook 11 N7 (C731, C731T)</v>
      </c>
      <c r="J88" s="9" t="str">
        <f aca="false">IF(LEFT(C88,3)="09S",IFERROR(MID(INDEX(Sistema!$D$2:$D$421,MATCH(D88,Sistema!$G$2:$G$421,0)),15,5),""),"")</f>
        <v/>
      </c>
      <c r="K88" s="9" t="str">
        <f aca="false">IF(H88="Não encontrado","Não encontrado",IF(H88&lt;&gt;A88,"Local diferente",IF(AND(E88&lt;&gt;"",J88&lt;&gt;"",UPPER(E88)&lt;&gt;UPPER(J88)),"Letra final diferente","Confere")))</f>
        <v>Confere</v>
      </c>
      <c r="L88" s="10"/>
      <c r="M88" s="10"/>
    </row>
    <row r="89" customFormat="false" ht="15" hidden="false" customHeight="false" outlineLevel="0" collapsed="false">
      <c r="A89" s="3" t="s">
        <v>12</v>
      </c>
      <c r="B89" s="9" t="n">
        <v>7</v>
      </c>
      <c r="C89" s="3" t="s">
        <v>424</v>
      </c>
      <c r="D89" s="3" t="str">
        <f aca="false">IF(LEFT(C89,3)="09S",LEFT(C89,14),C89)</f>
        <v>NXH0HAL001832D5EED9501</v>
      </c>
      <c r="E89" s="9" t="str">
        <f aca="false">IF(LEFT(C89,3)="09S",MID(C89,15,5),"")</f>
        <v/>
      </c>
      <c r="F89" s="9" t="n">
        <v>415346</v>
      </c>
      <c r="G89" s="3" t="s">
        <v>328</v>
      </c>
      <c r="H89" s="3" t="str">
        <f aca="false">IFERROR(INDEX(Sistema!$F$2:$F$421,MATCH(D89,Sistema!$G$2:$G$421,0)),"Não encontrado")</f>
        <v>Carrinho 04 ( LARANJA )</v>
      </c>
      <c r="I89" s="3" t="str">
        <f aca="false">IFERROR(INDEX(Sistema!$C$2:$C$421,MATCH(D89,Sistema!$G$2:$G$421,0)),"")</f>
        <v>Acer Chromebook 11 N7 (C731, C731T)</v>
      </c>
      <c r="J89" s="9" t="str">
        <f aca="false">IF(LEFT(C89,3)="09S",IFERROR(MID(INDEX(Sistema!$D$2:$D$421,MATCH(D89,Sistema!$G$2:$G$421,0)),15,5),""),"")</f>
        <v/>
      </c>
      <c r="K89" s="9" t="str">
        <f aca="false">IF(H89="Não encontrado","Não encontrado",IF(H89&lt;&gt;A89,"Local diferente",IF(AND(E89&lt;&gt;"",J89&lt;&gt;"",UPPER(E89)&lt;&gt;UPPER(J89)),"Letra final diferente","Confere")))</f>
        <v>Confere</v>
      </c>
      <c r="L89" s="10"/>
      <c r="M89" s="10"/>
    </row>
    <row r="90" customFormat="false" ht="15" hidden="false" customHeight="false" outlineLevel="0" collapsed="false">
      <c r="A90" s="3" t="s">
        <v>12</v>
      </c>
      <c r="B90" s="9" t="n">
        <v>8</v>
      </c>
      <c r="C90" s="3" t="s">
        <v>425</v>
      </c>
      <c r="D90" s="3" t="str">
        <f aca="false">IF(LEFT(C90,3)="09S",LEFT(C90,14),C90)</f>
        <v>NXH0HAL001838E74B29501</v>
      </c>
      <c r="E90" s="9" t="str">
        <f aca="false">IF(LEFT(C90,3)="09S",MID(C90,15,5),"")</f>
        <v/>
      </c>
      <c r="F90" s="9" t="n">
        <v>416498</v>
      </c>
      <c r="G90" s="3" t="s">
        <v>328</v>
      </c>
      <c r="H90" s="3" t="str">
        <f aca="false">IFERROR(INDEX(Sistema!$F$2:$F$421,MATCH(D90,Sistema!$G$2:$G$421,0)),"Não encontrado")</f>
        <v>Carrinho 04 ( LARANJA )</v>
      </c>
      <c r="I90" s="3" t="str">
        <f aca="false">IFERROR(INDEX(Sistema!$C$2:$C$421,MATCH(D90,Sistema!$G$2:$G$421,0)),"")</f>
        <v>Acer Chromebook 11 N7 (C731, C731T)</v>
      </c>
      <c r="J90" s="9" t="str">
        <f aca="false">IF(LEFT(C90,3)="09S",IFERROR(MID(INDEX(Sistema!$D$2:$D$421,MATCH(D90,Sistema!$G$2:$G$421,0)),15,5),""),"")</f>
        <v/>
      </c>
      <c r="K90" s="9" t="str">
        <f aca="false">IF(H90="Não encontrado","Não encontrado",IF(H90&lt;&gt;A90,"Local diferente",IF(AND(E90&lt;&gt;"",J90&lt;&gt;"",UPPER(E90)&lt;&gt;UPPER(J90)),"Letra final diferente","Confere")))</f>
        <v>Confere</v>
      </c>
      <c r="L90" s="10"/>
      <c r="M90" s="10"/>
    </row>
    <row r="91" customFormat="false" ht="39.55" hidden="false" customHeight="false" outlineLevel="0" collapsed="false">
      <c r="A91" s="3" t="s">
        <v>12</v>
      </c>
      <c r="B91" s="9" t="n">
        <v>9</v>
      </c>
      <c r="C91" s="3" t="s">
        <v>86</v>
      </c>
      <c r="D91" s="3" t="str">
        <f aca="false">IF(LEFT(C91,3)="09S",LEFT(C91,14),C91)</f>
        <v>NXH0HAL001838BE691A9501</v>
      </c>
      <c r="E91" s="9" t="str">
        <f aca="false">IF(LEFT(C91,3)="09S",MID(C91,15,5),"")</f>
        <v/>
      </c>
      <c r="F91" s="9" t="n">
        <v>415279</v>
      </c>
      <c r="G91" s="3" t="s">
        <v>328</v>
      </c>
      <c r="H91" s="3" t="str">
        <f aca="false">IFERROR(INDEX(Sistema!$F$2:$F$421,MATCH(D91,Sistema!$G$2:$G$421,0)),"Não encontrado")</f>
        <v>Não encontrado</v>
      </c>
      <c r="I91" s="3" t="str">
        <f aca="false">IFERROR(INDEX(Sistema!$C$2:$C$421,MATCH(D91,Sistema!$G$2:$G$421,0)),"")</f>
        <v/>
      </c>
      <c r="J91" s="9" t="str">
        <f aca="false">IF(LEFT(C91,3)="09S",IFERROR(MID(INDEX(Sistema!$D$2:$D$421,MATCH(D91,Sistema!$G$2:$G$421,0)),15,5),""),"")</f>
        <v/>
      </c>
      <c r="K91" s="9" t="str">
        <f aca="false">IF(H91="Não encontrado","Não encontrado",IF(H91&lt;&gt;A91,"Local diferente",IF(AND(E91&lt;&gt;"",J91&lt;&gt;"",UPPER(E91)&lt;&gt;UPPER(J91)),"Letra final diferente","Confere")))</f>
        <v>Não encontrado</v>
      </c>
      <c r="L91" s="10" t="s">
        <v>426</v>
      </c>
      <c r="M91" s="10"/>
    </row>
    <row r="92" customFormat="false" ht="15" hidden="false" customHeight="false" outlineLevel="0" collapsed="false">
      <c r="A92" s="3" t="s">
        <v>12</v>
      </c>
      <c r="B92" s="9" t="n">
        <v>10</v>
      </c>
      <c r="C92" s="3" t="s">
        <v>427</v>
      </c>
      <c r="D92" s="3" t="str">
        <f aca="false">IF(LEFT(C92,3)="09S",LEFT(C92,14),C92)</f>
        <v>NXH0HAL001826C7E849501</v>
      </c>
      <c r="E92" s="9" t="str">
        <f aca="false">IF(LEFT(C92,3)="09S",MID(C92,15,5),"")</f>
        <v/>
      </c>
      <c r="F92" s="9" t="n">
        <v>415260</v>
      </c>
      <c r="G92" s="3" t="s">
        <v>328</v>
      </c>
      <c r="H92" s="3" t="str">
        <f aca="false">IFERROR(INDEX(Sistema!$F$2:$F$421,MATCH(D92,Sistema!$G$2:$G$421,0)),"Não encontrado")</f>
        <v>Carrinho 04 ( LARANJA )</v>
      </c>
      <c r="I92" s="3" t="str">
        <f aca="false">IFERROR(INDEX(Sistema!$C$2:$C$421,MATCH(D92,Sistema!$G$2:$G$421,0)),"")</f>
        <v>Acer Chromebook 11 N7 (C731, C731T)</v>
      </c>
      <c r="J92" s="9" t="str">
        <f aca="false">IF(LEFT(C92,3)="09S",IFERROR(MID(INDEX(Sistema!$D$2:$D$421,MATCH(D92,Sistema!$G$2:$G$421,0)),15,5),""),"")</f>
        <v/>
      </c>
      <c r="K92" s="9" t="str">
        <f aca="false">IF(H92="Não encontrado","Não encontrado",IF(H92&lt;&gt;A92,"Local diferente",IF(AND(E92&lt;&gt;"",J92&lt;&gt;"",UPPER(E92)&lt;&gt;UPPER(J92)),"Letra final diferente","Confere")))</f>
        <v>Confere</v>
      </c>
      <c r="L92" s="10"/>
      <c r="M92" s="10"/>
    </row>
    <row r="93" customFormat="false" ht="15" hidden="false" customHeight="false" outlineLevel="0" collapsed="false">
      <c r="A93" s="3" t="s">
        <v>12</v>
      </c>
      <c r="B93" s="9" t="n">
        <v>11</v>
      </c>
      <c r="C93" s="3" t="s">
        <v>428</v>
      </c>
      <c r="D93" s="3" t="str">
        <f aca="false">IF(LEFT(C93,3)="09S",LEFT(C93,14),C93)</f>
        <v>NXH0HAL001839EDD639501</v>
      </c>
      <c r="E93" s="9" t="str">
        <f aca="false">IF(LEFT(C93,3)="09S",MID(C93,15,5),"")</f>
        <v/>
      </c>
      <c r="F93" s="9" t="n">
        <v>415387</v>
      </c>
      <c r="G93" s="3" t="s">
        <v>328</v>
      </c>
      <c r="H93" s="3" t="str">
        <f aca="false">IFERROR(INDEX(Sistema!$F$2:$F$421,MATCH(D93,Sistema!$G$2:$G$421,0)),"Não encontrado")</f>
        <v>Carrinho 04 ( LARANJA )</v>
      </c>
      <c r="I93" s="3" t="str">
        <f aca="false">IFERROR(INDEX(Sistema!$C$2:$C$421,MATCH(D93,Sistema!$G$2:$G$421,0)),"")</f>
        <v>Acer Chromebook 11 N7 (C731, C731T)</v>
      </c>
      <c r="J93" s="9" t="str">
        <f aca="false">IF(LEFT(C93,3)="09S",IFERROR(MID(INDEX(Sistema!$D$2:$D$421,MATCH(D93,Sistema!$G$2:$G$421,0)),15,5),""),"")</f>
        <v/>
      </c>
      <c r="K93" s="9" t="str">
        <f aca="false">IF(H93="Não encontrado","Não encontrado",IF(H93&lt;&gt;A93,"Local diferente",IF(AND(E93&lt;&gt;"",J93&lt;&gt;"",UPPER(E93)&lt;&gt;UPPER(J93)),"Letra final diferente","Confere")))</f>
        <v>Confere</v>
      </c>
      <c r="L93" s="10"/>
      <c r="M93" s="10"/>
    </row>
    <row r="94" customFormat="false" ht="39.55" hidden="false" customHeight="false" outlineLevel="0" collapsed="false">
      <c r="A94" s="3" t="s">
        <v>12</v>
      </c>
      <c r="B94" s="9" t="n">
        <v>12</v>
      </c>
      <c r="C94" s="3" t="s">
        <v>90</v>
      </c>
      <c r="D94" s="3" t="str">
        <f aca="false">IF(LEFT(C94,3)="09S",LEFT(C94,14),C94)</f>
        <v>NXH0HAL001832DC459501</v>
      </c>
      <c r="E94" s="9" t="str">
        <f aca="false">IF(LEFT(C94,3)="09S",MID(C94,15,5),"")</f>
        <v/>
      </c>
      <c r="F94" s="9" t="n">
        <v>415334</v>
      </c>
      <c r="G94" s="3" t="s">
        <v>328</v>
      </c>
      <c r="H94" s="3" t="str">
        <f aca="false">IFERROR(INDEX(Sistema!$F$2:$F$421,MATCH(D94,Sistema!$G$2:$G$421,0)),"Não encontrado")</f>
        <v>Não encontrado</v>
      </c>
      <c r="I94" s="3" t="str">
        <f aca="false">IFERROR(INDEX(Sistema!$C$2:$C$421,MATCH(D94,Sistema!$G$2:$G$421,0)),"")</f>
        <v/>
      </c>
      <c r="J94" s="9" t="str">
        <f aca="false">IF(LEFT(C94,3)="09S",IFERROR(MID(INDEX(Sistema!$D$2:$D$421,MATCH(D94,Sistema!$G$2:$G$421,0)),15,5),""),"")</f>
        <v/>
      </c>
      <c r="K94" s="9" t="str">
        <f aca="false">IF(H94="Não encontrado","Não encontrado",IF(H94&lt;&gt;A94,"Local diferente",IF(AND(E94&lt;&gt;"",J94&lt;&gt;"",UPPER(E94)&lt;&gt;UPPER(J94)),"Letra final diferente","Confere")))</f>
        <v>Não encontrado</v>
      </c>
      <c r="L94" s="10" t="s">
        <v>429</v>
      </c>
      <c r="M94" s="10"/>
    </row>
    <row r="95" customFormat="false" ht="15" hidden="false" customHeight="false" outlineLevel="0" collapsed="false">
      <c r="A95" s="3" t="s">
        <v>12</v>
      </c>
      <c r="B95" s="9" t="n">
        <v>13</v>
      </c>
      <c r="C95" s="3" t="s">
        <v>430</v>
      </c>
      <c r="D95" s="3" t="str">
        <f aca="false">IF(LEFT(C95,3)="09S",LEFT(C95,14),C95)</f>
        <v>NXH0HAL001832D5F689501</v>
      </c>
      <c r="E95" s="9" t="str">
        <f aca="false">IF(LEFT(C95,3)="09S",MID(C95,15,5),"")</f>
        <v/>
      </c>
      <c r="F95" s="9" t="n">
        <v>415287</v>
      </c>
      <c r="G95" s="3" t="s">
        <v>328</v>
      </c>
      <c r="H95" s="3" t="str">
        <f aca="false">IFERROR(INDEX(Sistema!$F$2:$F$421,MATCH(D95,Sistema!$G$2:$G$421,0)),"Não encontrado")</f>
        <v>Carrinho 04 ( LARANJA )</v>
      </c>
      <c r="I95" s="3" t="str">
        <f aca="false">IFERROR(INDEX(Sistema!$C$2:$C$421,MATCH(D95,Sistema!$G$2:$G$421,0)),"")</f>
        <v>Acer Chromebook 11 N7 (C731, C731T)</v>
      </c>
      <c r="J95" s="9" t="str">
        <f aca="false">IF(LEFT(C95,3)="09S",IFERROR(MID(INDEX(Sistema!$D$2:$D$421,MATCH(D95,Sistema!$G$2:$G$421,0)),15,5),""),"")</f>
        <v/>
      </c>
      <c r="K95" s="9" t="str">
        <f aca="false">IF(H95="Não encontrado","Não encontrado",IF(H95&lt;&gt;A95,"Local diferente",IF(AND(E95&lt;&gt;"",J95&lt;&gt;"",UPPER(E95)&lt;&gt;UPPER(J95)),"Letra final diferente","Confere")))</f>
        <v>Confere</v>
      </c>
      <c r="L95" s="10"/>
      <c r="M95" s="10"/>
    </row>
    <row r="96" customFormat="false" ht="15" hidden="false" customHeight="false" outlineLevel="0" collapsed="false">
      <c r="A96" s="3" t="s">
        <v>12</v>
      </c>
      <c r="B96" s="9" t="n">
        <v>14</v>
      </c>
      <c r="C96" s="3" t="s">
        <v>431</v>
      </c>
      <c r="D96" s="3" t="str">
        <f aca="false">IF(LEFT(C96,3)="09S",LEFT(C96,14),C96)</f>
        <v>NXH0HAL001839EDC9F9501</v>
      </c>
      <c r="E96" s="9" t="str">
        <f aca="false">IF(LEFT(C96,3)="09S",MID(C96,15,5),"")</f>
        <v/>
      </c>
      <c r="F96" s="9" t="n">
        <v>415393</v>
      </c>
      <c r="G96" s="3" t="s">
        <v>328</v>
      </c>
      <c r="H96" s="3" t="str">
        <f aca="false">IFERROR(INDEX(Sistema!$F$2:$F$421,MATCH(D96,Sistema!$G$2:$G$421,0)),"Não encontrado")</f>
        <v>Carrinho 04 ( LARANJA )</v>
      </c>
      <c r="I96" s="3" t="str">
        <f aca="false">IFERROR(INDEX(Sistema!$C$2:$C$421,MATCH(D96,Sistema!$G$2:$G$421,0)),"")</f>
        <v>Acer Chromebook 11 N7 (C731, C731T)</v>
      </c>
      <c r="J96" s="9" t="str">
        <f aca="false">IF(LEFT(C96,3)="09S",IFERROR(MID(INDEX(Sistema!$D$2:$D$421,MATCH(D96,Sistema!$G$2:$G$421,0)),15,5),""),"")</f>
        <v/>
      </c>
      <c r="K96" s="9" t="str">
        <f aca="false">IF(H96="Não encontrado","Não encontrado",IF(H96&lt;&gt;A96,"Local diferente",IF(AND(E96&lt;&gt;"",J96&lt;&gt;"",UPPER(E96)&lt;&gt;UPPER(J96)),"Letra final diferente","Confere")))</f>
        <v>Confere</v>
      </c>
      <c r="L96" s="10"/>
      <c r="M96" s="10"/>
    </row>
    <row r="97" customFormat="false" ht="15" hidden="false" customHeight="false" outlineLevel="0" collapsed="false">
      <c r="A97" s="3" t="s">
        <v>12</v>
      </c>
      <c r="B97" s="9" t="n">
        <v>15</v>
      </c>
      <c r="C97" s="3" t="s">
        <v>432</v>
      </c>
      <c r="D97" s="3" t="str">
        <f aca="false">IF(LEFT(C97,3)="09S",LEFT(C97,14),C97)</f>
        <v>NXH0HAL001838E73789501</v>
      </c>
      <c r="E97" s="9" t="str">
        <f aca="false">IF(LEFT(C97,3)="09S",MID(C97,15,5),"")</f>
        <v/>
      </c>
      <c r="F97" s="9" t="n">
        <v>415411</v>
      </c>
      <c r="G97" s="3" t="s">
        <v>328</v>
      </c>
      <c r="H97" s="3" t="str">
        <f aca="false">IFERROR(INDEX(Sistema!$F$2:$F$421,MATCH(D97,Sistema!$G$2:$G$421,0)),"Não encontrado")</f>
        <v>Carrinho 04 ( LARANJA )</v>
      </c>
      <c r="I97" s="3" t="str">
        <f aca="false">IFERROR(INDEX(Sistema!$C$2:$C$421,MATCH(D97,Sistema!$G$2:$G$421,0)),"")</f>
        <v>Acer Chromebook 11 N7 (C731, C731T)</v>
      </c>
      <c r="J97" s="9" t="str">
        <f aca="false">IF(LEFT(C97,3)="09S",IFERROR(MID(INDEX(Sistema!$D$2:$D$421,MATCH(D97,Sistema!$G$2:$G$421,0)),15,5),""),"")</f>
        <v/>
      </c>
      <c r="K97" s="9" t="str">
        <f aca="false">IF(H97="Não encontrado","Não encontrado",IF(H97&lt;&gt;A97,"Local diferente",IF(AND(E97&lt;&gt;"",J97&lt;&gt;"",UPPER(E97)&lt;&gt;UPPER(J97)),"Letra final diferente","Confere")))</f>
        <v>Confere</v>
      </c>
      <c r="L97" s="10"/>
      <c r="M97" s="10"/>
    </row>
    <row r="98" customFormat="false" ht="15" hidden="false" customHeight="false" outlineLevel="0" collapsed="false">
      <c r="A98" s="3" t="s">
        <v>12</v>
      </c>
      <c r="B98" s="9" t="n">
        <v>16</v>
      </c>
      <c r="C98" s="3" t="s">
        <v>433</v>
      </c>
      <c r="D98" s="3" t="str">
        <f aca="false">IF(LEFT(C98,3)="09S",LEFT(C98,14),C98)</f>
        <v>NXH0HAL001838E6A8B9501</v>
      </c>
      <c r="E98" s="9" t="str">
        <f aca="false">IF(LEFT(C98,3)="09S",MID(C98,15,5),"")</f>
        <v/>
      </c>
      <c r="F98" s="9" t="n">
        <v>415277</v>
      </c>
      <c r="G98" s="3" t="s">
        <v>328</v>
      </c>
      <c r="H98" s="3" t="str">
        <f aca="false">IFERROR(INDEX(Sistema!$F$2:$F$421,MATCH(D98,Sistema!$G$2:$G$421,0)),"Não encontrado")</f>
        <v>Carrinho 04 ( LARANJA )</v>
      </c>
      <c r="I98" s="3" t="str">
        <f aca="false">IFERROR(INDEX(Sistema!$C$2:$C$421,MATCH(D98,Sistema!$G$2:$G$421,0)),"")</f>
        <v>Acer Chromebook 11 N7 (C731, C731T)</v>
      </c>
      <c r="J98" s="9" t="str">
        <f aca="false">IF(LEFT(C98,3)="09S",IFERROR(MID(INDEX(Sistema!$D$2:$D$421,MATCH(D98,Sistema!$G$2:$G$421,0)),15,5),""),"")</f>
        <v/>
      </c>
      <c r="K98" s="9" t="str">
        <f aca="false">IF(H98="Não encontrado","Não encontrado",IF(H98&lt;&gt;A98,"Local diferente",IF(AND(E98&lt;&gt;"",J98&lt;&gt;"",UPPER(E98)&lt;&gt;UPPER(J98)),"Letra final diferente","Confere")))</f>
        <v>Confere</v>
      </c>
      <c r="L98" s="10"/>
      <c r="M98" s="10" t="s">
        <v>418</v>
      </c>
    </row>
    <row r="99" customFormat="false" ht="39.55" hidden="false" customHeight="false" outlineLevel="0" collapsed="false">
      <c r="A99" s="3" t="s">
        <v>12</v>
      </c>
      <c r="B99" s="9" t="n">
        <v>17</v>
      </c>
      <c r="C99" s="3" t="s">
        <v>94</v>
      </c>
      <c r="D99" s="3" t="str">
        <f aca="false">IF(LEFT(C99,3)="09S",LEFT(C99,14),C99)</f>
        <v>NXH0HAL00183BE76A19501</v>
      </c>
      <c r="E99" s="9" t="str">
        <f aca="false">IF(LEFT(C99,3)="09S",MID(C99,15,5),"")</f>
        <v/>
      </c>
      <c r="F99" s="9" t="n">
        <v>415312</v>
      </c>
      <c r="G99" s="3" t="s">
        <v>328</v>
      </c>
      <c r="H99" s="3" t="str">
        <f aca="false">IFERROR(INDEX(Sistema!$F$2:$F$421,MATCH(D99,Sistema!$G$2:$G$421,0)),"Não encontrado")</f>
        <v>Não encontrado</v>
      </c>
      <c r="I99" s="3" t="str">
        <f aca="false">IFERROR(INDEX(Sistema!$C$2:$C$421,MATCH(D99,Sistema!$G$2:$G$421,0)),"")</f>
        <v/>
      </c>
      <c r="J99" s="9" t="str">
        <f aca="false">IF(LEFT(C99,3)="09S",IFERROR(MID(INDEX(Sistema!$D$2:$D$421,MATCH(D99,Sistema!$G$2:$G$421,0)),15,5),""),"")</f>
        <v/>
      </c>
      <c r="K99" s="9" t="str">
        <f aca="false">IF(H99="Não encontrado","Não encontrado",IF(H99&lt;&gt;A99,"Local diferente",IF(AND(E99&lt;&gt;"",J99&lt;&gt;"",UPPER(E99)&lt;&gt;UPPER(J99)),"Letra final diferente","Confere")))</f>
        <v>Não encontrado</v>
      </c>
      <c r="L99" s="10" t="s">
        <v>434</v>
      </c>
      <c r="M99" s="10"/>
    </row>
    <row r="100" customFormat="false" ht="15" hidden="false" customHeight="false" outlineLevel="0" collapsed="false">
      <c r="A100" s="3" t="s">
        <v>12</v>
      </c>
      <c r="B100" s="9" t="n">
        <v>18</v>
      </c>
      <c r="C100" s="3" t="s">
        <v>435</v>
      </c>
      <c r="D100" s="3" t="str">
        <f aca="false">IF(LEFT(C100,3)="09S",LEFT(C100,14),C100)</f>
        <v>NXH0HAL001832D68C79501</v>
      </c>
      <c r="E100" s="9" t="str">
        <f aca="false">IF(LEFT(C100,3)="09S",MID(C100,15,5),"")</f>
        <v/>
      </c>
      <c r="F100" s="9" t="n">
        <v>413817</v>
      </c>
      <c r="G100" s="3" t="s">
        <v>328</v>
      </c>
      <c r="H100" s="3" t="str">
        <f aca="false">IFERROR(INDEX(Sistema!$F$2:$F$421,MATCH(D100,Sistema!$G$2:$G$421,0)),"Não encontrado")</f>
        <v>Carrinho 04 ( LARANJA )</v>
      </c>
      <c r="I100" s="3" t="str">
        <f aca="false">IFERROR(INDEX(Sistema!$C$2:$C$421,MATCH(D100,Sistema!$G$2:$G$421,0)),"")</f>
        <v>Acer Chromebook 11 N7 (C731, C731T)</v>
      </c>
      <c r="J100" s="9" t="str">
        <f aca="false">IF(LEFT(C100,3)="09S",IFERROR(MID(INDEX(Sistema!$D$2:$D$421,MATCH(D100,Sistema!$G$2:$G$421,0)),15,5),""),"")</f>
        <v/>
      </c>
      <c r="K100" s="9" t="str">
        <f aca="false">IF(H100="Não encontrado","Não encontrado",IF(H100&lt;&gt;A100,"Local diferente",IF(AND(E100&lt;&gt;"",J100&lt;&gt;"",UPPER(E100)&lt;&gt;UPPER(J100)),"Letra final diferente","Confere")))</f>
        <v>Confere</v>
      </c>
      <c r="L100" s="10"/>
      <c r="M100" s="10"/>
    </row>
    <row r="101" customFormat="false" ht="26.85" hidden="false" customHeight="false" outlineLevel="0" collapsed="false">
      <c r="A101" s="3" t="s">
        <v>12</v>
      </c>
      <c r="B101" s="9" t="n">
        <v>19</v>
      </c>
      <c r="C101" s="3" t="s">
        <v>436</v>
      </c>
      <c r="D101" s="3" t="str">
        <f aca="false">IF(LEFT(C101,3)="09S",LEFT(C101,14),C101)</f>
        <v>NXH0HAL001837E5F719501</v>
      </c>
      <c r="E101" s="9" t="str">
        <f aca="false">IF(LEFT(C101,3)="09S",MID(C101,15,5),"")</f>
        <v/>
      </c>
      <c r="F101" s="9" t="n">
        <v>415327</v>
      </c>
      <c r="G101" s="3" t="s">
        <v>328</v>
      </c>
      <c r="H101" s="3" t="str">
        <f aca="false">IFERROR(INDEX(Sistema!$F$2:$F$421,MATCH(D101,Sistema!$G$2:$G$421,0)),"Não encontrado")</f>
        <v>Carrinho 04 ( LARANJA )</v>
      </c>
      <c r="I101" s="3" t="str">
        <f aca="false">IFERROR(INDEX(Sistema!$C$2:$C$421,MATCH(D101,Sistema!$G$2:$G$421,0)),"")</f>
        <v>Acer Chromebook 11 N7 (C731, C731T)</v>
      </c>
      <c r="J101" s="9" t="str">
        <f aca="false">IF(LEFT(C101,3)="09S",IFERROR(MID(INDEX(Sistema!$D$2:$D$421,MATCH(D101,Sistema!$G$2:$G$421,0)),15,5),""),"")</f>
        <v/>
      </c>
      <c r="K101" s="9" t="str">
        <f aca="false">IF(H101="Não encontrado","Não encontrado",IF(H101&lt;&gt;A101,"Local diferente",IF(AND(E101&lt;&gt;"",J101&lt;&gt;"",UPPER(E101)&lt;&gt;UPPER(J101)),"Letra final diferente","Confere")))</f>
        <v>Confere</v>
      </c>
      <c r="L101" s="10"/>
      <c r="M101" s="10" t="s">
        <v>437</v>
      </c>
    </row>
    <row r="102" customFormat="false" ht="39.55" hidden="false" customHeight="false" outlineLevel="0" collapsed="false">
      <c r="A102" s="3" t="s">
        <v>12</v>
      </c>
      <c r="B102" s="9" t="n">
        <v>20</v>
      </c>
      <c r="C102" s="3" t="s">
        <v>98</v>
      </c>
      <c r="D102" s="3" t="str">
        <f aca="false">IF(LEFT(C102,3)="09S",LEFT(C102,14),C102)</f>
        <v>NXH0HAL00183BE693B9501</v>
      </c>
      <c r="E102" s="9" t="str">
        <f aca="false">IF(LEFT(C102,3)="09S",MID(C102,15,5),"")</f>
        <v/>
      </c>
      <c r="F102" s="9" t="n">
        <v>415264</v>
      </c>
      <c r="G102" s="3" t="s">
        <v>328</v>
      </c>
      <c r="H102" s="3" t="str">
        <f aca="false">IFERROR(INDEX(Sistema!$F$2:$F$421,MATCH(D102,Sistema!$G$2:$G$421,0)),"Não encontrado")</f>
        <v>Não encontrado</v>
      </c>
      <c r="I102" s="3" t="str">
        <f aca="false">IFERROR(INDEX(Sistema!$C$2:$C$421,MATCH(D102,Sistema!$G$2:$G$421,0)),"")</f>
        <v/>
      </c>
      <c r="J102" s="9" t="str">
        <f aca="false">IF(LEFT(C102,3)="09S",IFERROR(MID(INDEX(Sistema!$D$2:$D$421,MATCH(D102,Sistema!$G$2:$G$421,0)),15,5),""),"")</f>
        <v/>
      </c>
      <c r="K102" s="9" t="str">
        <f aca="false">IF(H102="Não encontrado","Não encontrado",IF(H102&lt;&gt;A102,"Local diferente",IF(AND(E102&lt;&gt;"",J102&lt;&gt;"",UPPER(E102)&lt;&gt;UPPER(J102)),"Letra final diferente","Confere")))</f>
        <v>Não encontrado</v>
      </c>
      <c r="L102" s="10" t="s">
        <v>438</v>
      </c>
      <c r="M102" s="10" t="s">
        <v>439</v>
      </c>
    </row>
    <row r="103" customFormat="false" ht="39.55" hidden="false" customHeight="false" outlineLevel="0" collapsed="false">
      <c r="A103" s="3" t="s">
        <v>12</v>
      </c>
      <c r="B103" s="9" t="n">
        <v>21</v>
      </c>
      <c r="C103" s="3" t="s">
        <v>102</v>
      </c>
      <c r="D103" s="3" t="str">
        <f aca="false">IF(LEFT(C103,3)="09S",LEFT(C103,14),C103)</f>
        <v>NXH0HAL001838E68629501</v>
      </c>
      <c r="E103" s="9" t="str">
        <f aca="false">IF(LEFT(C103,3)="09S",MID(C103,15,5),"")</f>
        <v/>
      </c>
      <c r="F103" s="9" t="n">
        <v>415371</v>
      </c>
      <c r="G103" s="3" t="s">
        <v>328</v>
      </c>
      <c r="H103" s="3" t="str">
        <f aca="false">IFERROR(INDEX(Sistema!$F$2:$F$421,MATCH(D103,Sistema!$G$2:$G$421,0)),"Não encontrado")</f>
        <v>Carrinho 09 - BORDÔ</v>
      </c>
      <c r="I103" s="3" t="str">
        <f aca="false">IFERROR(INDEX(Sistema!$C$2:$C$421,MATCH(D103,Sistema!$G$2:$G$421,0)),"")</f>
        <v>Acer Chromebook 11 N7 (C731, C731T)</v>
      </c>
      <c r="J103" s="9" t="str">
        <f aca="false">IF(LEFT(C103,3)="09S",IFERROR(MID(INDEX(Sistema!$D$2:$D$421,MATCH(D103,Sistema!$G$2:$G$421,0)),15,5),""),"")</f>
        <v/>
      </c>
      <c r="K103" s="9" t="str">
        <f aca="false">IF(H103="Não encontrado","Não encontrado",IF(H103&lt;&gt;A103,"Local diferente",IF(AND(E103&lt;&gt;"",J103&lt;&gt;"",UPPER(E103)&lt;&gt;UPPER(J103)),"Letra final diferente","Confere")))</f>
        <v>Local diferente</v>
      </c>
      <c r="L103" s="10" t="s">
        <v>440</v>
      </c>
      <c r="M103" s="10"/>
    </row>
    <row r="104" customFormat="false" ht="26.85" hidden="false" customHeight="false" outlineLevel="0" collapsed="false">
      <c r="A104" s="3" t="s">
        <v>12</v>
      </c>
      <c r="B104" s="9" t="n">
        <v>22</v>
      </c>
      <c r="C104" s="3" t="s">
        <v>441</v>
      </c>
      <c r="D104" s="3" t="str">
        <f aca="false">IF(LEFT(C104,3)="09S",LEFT(C104,14),C104)</f>
        <v>NXH0HAL001832D5F4A9501</v>
      </c>
      <c r="E104" s="9" t="str">
        <f aca="false">IF(LEFT(C104,3)="09S",MID(C104,15,5),"")</f>
        <v/>
      </c>
      <c r="F104" s="9" t="n">
        <v>415311</v>
      </c>
      <c r="G104" s="3" t="s">
        <v>328</v>
      </c>
      <c r="H104" s="3" t="str">
        <f aca="false">IFERROR(INDEX(Sistema!$F$2:$F$421,MATCH(D104,Sistema!$G$2:$G$421,0)),"Não encontrado")</f>
        <v>Carrinho 04 ( LARANJA )</v>
      </c>
      <c r="I104" s="3" t="str">
        <f aca="false">IFERROR(INDEX(Sistema!$C$2:$C$421,MATCH(D104,Sistema!$G$2:$G$421,0)),"")</f>
        <v>Acer Chromebook 11 N7 (C731, C731T)</v>
      </c>
      <c r="J104" s="9" t="str">
        <f aca="false">IF(LEFT(C104,3)="09S",IFERROR(MID(INDEX(Sistema!$D$2:$D$421,MATCH(D104,Sistema!$G$2:$G$421,0)),15,5),""),"")</f>
        <v/>
      </c>
      <c r="K104" s="9" t="str">
        <f aca="false">IF(H104="Não encontrado","Não encontrado",IF(H104&lt;&gt;A104,"Local diferente",IF(AND(E104&lt;&gt;"",J104&lt;&gt;"",UPPER(E104)&lt;&gt;UPPER(J104)),"Letra final diferente","Confere")))</f>
        <v>Confere</v>
      </c>
      <c r="L104" s="10"/>
      <c r="M104" s="10" t="s">
        <v>442</v>
      </c>
    </row>
    <row r="105" customFormat="false" ht="39.55" hidden="false" customHeight="false" outlineLevel="0" collapsed="false">
      <c r="A105" s="3" t="s">
        <v>12</v>
      </c>
      <c r="B105" s="9" t="n">
        <v>23</v>
      </c>
      <c r="C105" s="3" t="s">
        <v>106</v>
      </c>
      <c r="D105" s="3" t="str">
        <f aca="false">IF(LEFT(C105,3)="09S",LEFT(C105,14),C105)</f>
        <v>NXH0HAL001838E74D9501</v>
      </c>
      <c r="E105" s="9" t="str">
        <f aca="false">IF(LEFT(C105,3)="09S",MID(C105,15,5),"")</f>
        <v/>
      </c>
      <c r="F105" s="9" t="n">
        <v>415307</v>
      </c>
      <c r="G105" s="3" t="s">
        <v>328</v>
      </c>
      <c r="H105" s="3" t="str">
        <f aca="false">IFERROR(INDEX(Sistema!$F$2:$F$421,MATCH(D105,Sistema!$G$2:$G$421,0)),"Não encontrado")</f>
        <v>Não encontrado</v>
      </c>
      <c r="I105" s="3" t="str">
        <f aca="false">IFERROR(INDEX(Sistema!$C$2:$C$421,MATCH(D105,Sistema!$G$2:$G$421,0)),"")</f>
        <v/>
      </c>
      <c r="J105" s="9" t="str">
        <f aca="false">IF(LEFT(C105,3)="09S",IFERROR(MID(INDEX(Sistema!$D$2:$D$421,MATCH(D105,Sistema!$G$2:$G$421,0)),15,5),""),"")</f>
        <v/>
      </c>
      <c r="K105" s="9" t="str">
        <f aca="false">IF(H105="Não encontrado","Não encontrado",IF(H105&lt;&gt;A105,"Local diferente",IF(AND(E105&lt;&gt;"",J105&lt;&gt;"",UPPER(E105)&lt;&gt;UPPER(J105)),"Letra final diferente","Confere")))</f>
        <v>Não encontrado</v>
      </c>
      <c r="L105" s="10" t="s">
        <v>443</v>
      </c>
      <c r="M105" s="10"/>
    </row>
    <row r="106" customFormat="false" ht="15" hidden="false" customHeight="false" outlineLevel="0" collapsed="false">
      <c r="A106" s="3" t="s">
        <v>12</v>
      </c>
      <c r="B106" s="9" t="n">
        <v>24</v>
      </c>
      <c r="C106" s="3" t="s">
        <v>444</v>
      </c>
      <c r="D106" s="3" t="str">
        <f aca="false">IF(LEFT(C106,3)="09S",LEFT(C106,14),C106)</f>
        <v>NXH0HAL001832D5B7C9501</v>
      </c>
      <c r="E106" s="9" t="str">
        <f aca="false">IF(LEFT(C106,3)="09S",MID(C106,15,5),"")</f>
        <v/>
      </c>
      <c r="F106" s="9" t="n">
        <v>415285</v>
      </c>
      <c r="G106" s="3" t="s">
        <v>328</v>
      </c>
      <c r="H106" s="3" t="str">
        <f aca="false">IFERROR(INDEX(Sistema!$F$2:$F$421,MATCH(D106,Sistema!$G$2:$G$421,0)),"Não encontrado")</f>
        <v>Carrinho 04 ( LARANJA )</v>
      </c>
      <c r="I106" s="3" t="str">
        <f aca="false">IFERROR(INDEX(Sistema!$C$2:$C$421,MATCH(D106,Sistema!$G$2:$G$421,0)),"")</f>
        <v>Acer Chromebook 11 N7 (C731, C731T)</v>
      </c>
      <c r="J106" s="9" t="str">
        <f aca="false">IF(LEFT(C106,3)="09S",IFERROR(MID(INDEX(Sistema!$D$2:$D$421,MATCH(D106,Sistema!$G$2:$G$421,0)),15,5),""),"")</f>
        <v/>
      </c>
      <c r="K106" s="9" t="str">
        <f aca="false">IF(H106="Não encontrado","Não encontrado",IF(H106&lt;&gt;A106,"Local diferente",IF(AND(E106&lt;&gt;"",J106&lt;&gt;"",UPPER(E106)&lt;&gt;UPPER(J106)),"Letra final diferente","Confere")))</f>
        <v>Confere</v>
      </c>
      <c r="L106" s="10"/>
      <c r="M106" s="10"/>
    </row>
    <row r="107" customFormat="false" ht="15" hidden="false" customHeight="false" outlineLevel="0" collapsed="false">
      <c r="A107" s="3" t="s">
        <v>13</v>
      </c>
      <c r="B107" s="9" t="n">
        <v>1</v>
      </c>
      <c r="C107" s="3" t="s">
        <v>445</v>
      </c>
      <c r="D107" s="3" t="str">
        <f aca="false">IF(LEFT(C107,3)="09S",LEFT(C107,14),C107)</f>
        <v>09S29QAR109567</v>
      </c>
      <c r="E107" s="9" t="str">
        <f aca="false">IF(LEFT(C107,3)="09S",MID(C107,15,5),"")</f>
        <v>E</v>
      </c>
      <c r="F107" s="9" t="n">
        <v>382692</v>
      </c>
      <c r="G107" s="3" t="s">
        <v>446</v>
      </c>
      <c r="H107" s="3" t="str">
        <f aca="false">IFERROR(INDEX(Sistema!$F$2:$F$421,MATCH(D107,Sistema!$G$2:$G$421,0)),"Não encontrado")</f>
        <v>Carrinho 05 ( ROXO)</v>
      </c>
      <c r="I107" s="3" t="str">
        <f aca="false">IFERROR(INDEX(Sistema!$C$2:$C$421,MATCH(D107,Sistema!$G$2:$G$421,0)),"")</f>
        <v>Samsung Chromebook 4</v>
      </c>
      <c r="J107" s="9" t="str">
        <f aca="false">IF(LEFT(C107,3)="09S",IFERROR(MID(INDEX(Sistema!$D$2:$D$421,MATCH(D107,Sistema!$G$2:$G$421,0)),15,5),""),"")</f>
        <v>E</v>
      </c>
      <c r="K107" s="9" t="str">
        <f aca="false">IF(H107="Não encontrado","Não encontrado",IF(H107&lt;&gt;A107,"Local diferente",IF(AND(E107&lt;&gt;"",J107&lt;&gt;"",UPPER(E107)&lt;&gt;UPPER(J107)),"Letra final diferente","Confere")))</f>
        <v>Confere</v>
      </c>
      <c r="L107" s="10"/>
      <c r="M107" s="10"/>
    </row>
    <row r="108" customFormat="false" ht="26.85" hidden="false" customHeight="false" outlineLevel="0" collapsed="false">
      <c r="A108" s="3" t="s">
        <v>13</v>
      </c>
      <c r="B108" s="9" t="n">
        <v>2</v>
      </c>
      <c r="C108" s="3" t="s">
        <v>114</v>
      </c>
      <c r="D108" s="3" t="str">
        <f aca="false">IF(LEFT(C108,3)="09S",LEFT(C108,14),C108)</f>
        <v>09S29QANC07347</v>
      </c>
      <c r="E108" s="9" t="str">
        <f aca="false">IF(LEFT(C108,3)="09S",MID(C108,15,5),"")</f>
        <v>V</v>
      </c>
      <c r="F108" s="9" t="n">
        <v>382911</v>
      </c>
      <c r="G108" s="3" t="s">
        <v>446</v>
      </c>
      <c r="H108" s="3" t="str">
        <f aca="false">IFERROR(INDEX(Sistema!$F$2:$F$421,MATCH(D108,Sistema!$G$2:$G$421,0)),"Não encontrado")</f>
        <v>Carrinho 12 - OCRE </v>
      </c>
      <c r="I108" s="3" t="str">
        <f aca="false">IFERROR(INDEX(Sistema!$C$2:$C$421,MATCH(D108,Sistema!$G$2:$G$421,0)),"")</f>
        <v>Samsung Chromebook 4</v>
      </c>
      <c r="J108" s="9" t="str">
        <f aca="false">IF(LEFT(C108,3)="09S",IFERROR(MID(INDEX(Sistema!$D$2:$D$421,MATCH(D108,Sistema!$G$2:$G$421,0)),15,5),""),"")</f>
        <v>V</v>
      </c>
      <c r="K108" s="9" t="str">
        <f aca="false">IF(H108="Não encontrado","Não encontrado",IF(H108&lt;&gt;A108,"Local diferente",IF(AND(E108&lt;&gt;"",J108&lt;&gt;"",UPPER(E108)&lt;&gt;UPPER(J108)),"Letra final diferente","Confere")))</f>
        <v>Local diferente</v>
      </c>
      <c r="L108" s="10" t="s">
        <v>447</v>
      </c>
      <c r="M108" s="10"/>
    </row>
    <row r="109" customFormat="false" ht="15" hidden="false" customHeight="false" outlineLevel="0" collapsed="false">
      <c r="A109" s="3" t="s">
        <v>13</v>
      </c>
      <c r="B109" s="9" t="n">
        <v>3</v>
      </c>
      <c r="C109" s="3" t="s">
        <v>448</v>
      </c>
      <c r="D109" s="3" t="str">
        <f aca="false">IF(LEFT(C109,3)="09S",LEFT(C109,14),C109)</f>
        <v>09S29QBNC00511</v>
      </c>
      <c r="E109" s="9" t="str">
        <f aca="false">IF(LEFT(C109,3)="09S",MID(C109,15,5),"")</f>
        <v>A</v>
      </c>
      <c r="F109" s="9" t="n">
        <v>382502</v>
      </c>
      <c r="G109" s="3" t="s">
        <v>446</v>
      </c>
      <c r="H109" s="3" t="str">
        <f aca="false">IFERROR(INDEX(Sistema!$F$2:$F$421,MATCH(D109,Sistema!$G$2:$G$421,0)),"Não encontrado")</f>
        <v>Carrinho 05 ( ROXO)</v>
      </c>
      <c r="I109" s="3" t="str">
        <f aca="false">IFERROR(INDEX(Sistema!$C$2:$C$421,MATCH(D109,Sistema!$G$2:$G$421,0)),"")</f>
        <v>Samsung Chromebook 4</v>
      </c>
      <c r="J109" s="9" t="str">
        <f aca="false">IF(LEFT(C109,3)="09S",IFERROR(MID(INDEX(Sistema!$D$2:$D$421,MATCH(D109,Sistema!$G$2:$G$421,0)),15,5),""),"")</f>
        <v>A</v>
      </c>
      <c r="K109" s="9" t="str">
        <f aca="false">IF(H109="Não encontrado","Não encontrado",IF(H109&lt;&gt;A109,"Local diferente",IF(AND(E109&lt;&gt;"",J109&lt;&gt;"",UPPER(E109)&lt;&gt;UPPER(J109)),"Letra final diferente","Confere")))</f>
        <v>Confere</v>
      </c>
      <c r="L109" s="10"/>
      <c r="M109" s="10"/>
    </row>
    <row r="110" customFormat="false" ht="15" hidden="false" customHeight="false" outlineLevel="0" collapsed="false">
      <c r="A110" s="3" t="s">
        <v>13</v>
      </c>
      <c r="B110" s="9" t="n">
        <v>4</v>
      </c>
      <c r="C110" s="3" t="s">
        <v>449</v>
      </c>
      <c r="D110" s="3" t="str">
        <f aca="false">IF(LEFT(C110,3)="09S",LEFT(C110,14),C110)</f>
        <v>09S29QBNC00050</v>
      </c>
      <c r="E110" s="9" t="str">
        <f aca="false">IF(LEFT(C110,3)="09S",MID(C110,15,5),"")</f>
        <v>R</v>
      </c>
      <c r="F110" s="9" t="n">
        <v>382569</v>
      </c>
      <c r="G110" s="3" t="s">
        <v>446</v>
      </c>
      <c r="H110" s="3" t="str">
        <f aca="false">IFERROR(INDEX(Sistema!$F$2:$F$421,MATCH(D110,Sistema!$G$2:$G$421,0)),"Não encontrado")</f>
        <v>Carrinho 05 ( ROXO)</v>
      </c>
      <c r="I110" s="3" t="str">
        <f aca="false">IFERROR(INDEX(Sistema!$C$2:$C$421,MATCH(D110,Sistema!$G$2:$G$421,0)),"")</f>
        <v>Samsung Chromebook 4</v>
      </c>
      <c r="J110" s="9" t="str">
        <f aca="false">IF(LEFT(C110,3)="09S",IFERROR(MID(INDEX(Sistema!$D$2:$D$421,MATCH(D110,Sistema!$G$2:$G$421,0)),15,5),""),"")</f>
        <v>R</v>
      </c>
      <c r="K110" s="9" t="str">
        <f aca="false">IF(H110="Não encontrado","Não encontrado",IF(H110&lt;&gt;A110,"Local diferente",IF(AND(E110&lt;&gt;"",J110&lt;&gt;"",UPPER(E110)&lt;&gt;UPPER(J110)),"Letra final diferente","Confere")))</f>
        <v>Confere</v>
      </c>
      <c r="L110" s="10"/>
      <c r="M110" s="10"/>
    </row>
    <row r="111" customFormat="false" ht="15" hidden="false" customHeight="false" outlineLevel="0" collapsed="false">
      <c r="A111" s="3" t="s">
        <v>13</v>
      </c>
      <c r="B111" s="9" t="n">
        <v>5</v>
      </c>
      <c r="C111" s="3" t="s">
        <v>450</v>
      </c>
      <c r="D111" s="3" t="str">
        <f aca="false">IF(LEFT(C111,3)="09S",LEFT(C111,14),C111)</f>
        <v>09S29QAR111065</v>
      </c>
      <c r="E111" s="9" t="str">
        <f aca="false">IF(LEFT(C111,3)="09S",MID(C111,15,5),"")</f>
        <v>R</v>
      </c>
      <c r="F111" s="9" t="n">
        <v>382856</v>
      </c>
      <c r="G111" s="3" t="s">
        <v>446</v>
      </c>
      <c r="H111" s="3" t="str">
        <f aca="false">IFERROR(INDEX(Sistema!$F$2:$F$421,MATCH(D111,Sistema!$G$2:$G$421,0)),"Não encontrado")</f>
        <v>Carrinho 05 ( ROXO)</v>
      </c>
      <c r="I111" s="3" t="str">
        <f aca="false">IFERROR(INDEX(Sistema!$C$2:$C$421,MATCH(D111,Sistema!$G$2:$G$421,0)),"")</f>
        <v>Samsung Chromebook 4</v>
      </c>
      <c r="J111" s="9" t="str">
        <f aca="false">IF(LEFT(C111,3)="09S",IFERROR(MID(INDEX(Sistema!$D$2:$D$421,MATCH(D111,Sistema!$G$2:$G$421,0)),15,5),""),"")</f>
        <v>R</v>
      </c>
      <c r="K111" s="9" t="str">
        <f aca="false">IF(H111="Não encontrado","Não encontrado",IF(H111&lt;&gt;A111,"Local diferente",IF(AND(E111&lt;&gt;"",J111&lt;&gt;"",UPPER(E111)&lt;&gt;UPPER(J111)),"Letra final diferente","Confere")))</f>
        <v>Confere</v>
      </c>
      <c r="L111" s="10"/>
      <c r="M111" s="10"/>
    </row>
    <row r="112" customFormat="false" ht="15" hidden="false" customHeight="false" outlineLevel="0" collapsed="false">
      <c r="A112" s="3" t="s">
        <v>13</v>
      </c>
      <c r="B112" s="9" t="n">
        <v>6</v>
      </c>
      <c r="C112" s="3" t="s">
        <v>451</v>
      </c>
      <c r="D112" s="3" t="str">
        <f aca="false">IF(LEFT(C112,3)="09S",LEFT(C112,14),C112)</f>
        <v>09S29QAR110835</v>
      </c>
      <c r="E112" s="9" t="str">
        <f aca="false">IF(LEFT(C112,3)="09S",MID(C112,15,5),"")</f>
        <v>L</v>
      </c>
      <c r="F112" s="9" t="n">
        <v>382810</v>
      </c>
      <c r="G112" s="3" t="s">
        <v>446</v>
      </c>
      <c r="H112" s="3" t="str">
        <f aca="false">IFERROR(INDEX(Sistema!$F$2:$F$421,MATCH(D112,Sistema!$G$2:$G$421,0)),"Não encontrado")</f>
        <v>Carrinho 05 ( ROXO)</v>
      </c>
      <c r="I112" s="3" t="str">
        <f aca="false">IFERROR(INDEX(Sistema!$C$2:$C$421,MATCH(D112,Sistema!$G$2:$G$421,0)),"")</f>
        <v>Samsung Chromebook 4</v>
      </c>
      <c r="J112" s="9" t="str">
        <f aca="false">IF(LEFT(C112,3)="09S",IFERROR(MID(INDEX(Sistema!$D$2:$D$421,MATCH(D112,Sistema!$G$2:$G$421,0)),15,5),""),"")</f>
        <v>L</v>
      </c>
      <c r="K112" s="9" t="str">
        <f aca="false">IF(H112="Não encontrado","Não encontrado",IF(H112&lt;&gt;A112,"Local diferente",IF(AND(E112&lt;&gt;"",J112&lt;&gt;"",UPPER(E112)&lt;&gt;UPPER(J112)),"Letra final diferente","Confere")))</f>
        <v>Confere</v>
      </c>
      <c r="L112" s="10"/>
      <c r="M112" s="10"/>
    </row>
    <row r="113" customFormat="false" ht="15" hidden="false" customHeight="false" outlineLevel="0" collapsed="false">
      <c r="A113" s="3" t="s">
        <v>13</v>
      </c>
      <c r="B113" s="9" t="n">
        <v>7</v>
      </c>
      <c r="C113" s="3" t="s">
        <v>452</v>
      </c>
      <c r="D113" s="3" t="str">
        <f aca="false">IF(LEFT(C113,3)="09S",LEFT(C113,14),C113)</f>
        <v>09S29QBR722684</v>
      </c>
      <c r="E113" s="9" t="str">
        <f aca="false">IF(LEFT(C113,3)="09S",MID(C113,15,5),"")</f>
        <v>H</v>
      </c>
      <c r="F113" s="9" t="n">
        <v>505054</v>
      </c>
      <c r="G113" s="3" t="s">
        <v>446</v>
      </c>
      <c r="H113" s="3" t="str">
        <f aca="false">IFERROR(INDEX(Sistema!$F$2:$F$421,MATCH(D113,Sistema!$G$2:$G$421,0)),"Não encontrado")</f>
        <v>Carrinho 05 ( ROXO)</v>
      </c>
      <c r="I113" s="3" t="str">
        <f aca="false">IFERROR(INDEX(Sistema!$C$2:$C$421,MATCH(D113,Sistema!$G$2:$G$421,0)),"")</f>
        <v>Samsung Chromebook 4 - 2021/Lote 1</v>
      </c>
      <c r="J113" s="9" t="str">
        <f aca="false">IF(LEFT(C113,3)="09S",IFERROR(MID(INDEX(Sistema!$D$2:$D$421,MATCH(D113,Sistema!$G$2:$G$421,0)),15,5),""),"")</f>
        <v/>
      </c>
      <c r="K113" s="9" t="str">
        <f aca="false">IF(H113="Não encontrado","Não encontrado",IF(H113&lt;&gt;A113,"Local diferente",IF(AND(E113&lt;&gt;"",J113&lt;&gt;"",UPPER(E113)&lt;&gt;UPPER(J113)),"Letra final diferente","Confere")))</f>
        <v>Confere</v>
      </c>
      <c r="L113" s="10"/>
      <c r="M113" s="10"/>
    </row>
    <row r="114" customFormat="false" ht="15" hidden="false" customHeight="false" outlineLevel="0" collapsed="false">
      <c r="A114" s="3" t="s">
        <v>13</v>
      </c>
      <c r="B114" s="9" t="n">
        <v>8</v>
      </c>
      <c r="C114" s="3" t="s">
        <v>453</v>
      </c>
      <c r="D114" s="3" t="str">
        <f aca="false">IF(LEFT(C114,3)="09S",LEFT(C114,14),C114)</f>
        <v>09S29QANC07268</v>
      </c>
      <c r="E114" s="9" t="str">
        <f aca="false">IF(LEFT(C114,3)="09S",MID(C114,15,5),"")</f>
        <v>E</v>
      </c>
      <c r="F114" s="9" t="n">
        <v>382905</v>
      </c>
      <c r="G114" s="3" t="s">
        <v>446</v>
      </c>
      <c r="H114" s="3" t="str">
        <f aca="false">IFERROR(INDEX(Sistema!$F$2:$F$421,MATCH(D114,Sistema!$G$2:$G$421,0)),"Não encontrado")</f>
        <v>Carrinho 05 ( ROXO)</v>
      </c>
      <c r="I114" s="3" t="str">
        <f aca="false">IFERROR(INDEX(Sistema!$C$2:$C$421,MATCH(D114,Sistema!$G$2:$G$421,0)),"")</f>
        <v>Samsung Chromebook 4</v>
      </c>
      <c r="J114" s="9" t="str">
        <f aca="false">IF(LEFT(C114,3)="09S",IFERROR(MID(INDEX(Sistema!$D$2:$D$421,MATCH(D114,Sistema!$G$2:$G$421,0)),15,5),""),"")</f>
        <v>E</v>
      </c>
      <c r="K114" s="9" t="str">
        <f aca="false">IF(H114="Não encontrado","Não encontrado",IF(H114&lt;&gt;A114,"Local diferente",IF(AND(E114&lt;&gt;"",J114&lt;&gt;"",UPPER(E114)&lt;&gt;UPPER(J114)),"Letra final diferente","Confere")))</f>
        <v>Confere</v>
      </c>
      <c r="L114" s="10"/>
      <c r="M114" s="10"/>
    </row>
    <row r="115" customFormat="false" ht="15" hidden="false" customHeight="false" outlineLevel="0" collapsed="false">
      <c r="A115" s="3" t="s">
        <v>13</v>
      </c>
      <c r="B115" s="9" t="n">
        <v>9</v>
      </c>
      <c r="C115" s="3" t="s">
        <v>454</v>
      </c>
      <c r="D115" s="3" t="str">
        <f aca="false">IF(LEFT(C115,3)="09S",LEFT(C115,14),C115)</f>
        <v>09S29QAR109533</v>
      </c>
      <c r="E115" s="9" t="str">
        <f aca="false">IF(LEFT(C115,3)="09S",MID(C115,15,5),"")</f>
        <v>V</v>
      </c>
      <c r="F115" s="9" t="n">
        <v>382737</v>
      </c>
      <c r="G115" s="3" t="s">
        <v>446</v>
      </c>
      <c r="H115" s="3" t="str">
        <f aca="false">IFERROR(INDEX(Sistema!$F$2:$F$421,MATCH(D115,Sistema!$G$2:$G$421,0)),"Não encontrado")</f>
        <v>Carrinho 05 ( ROXO)</v>
      </c>
      <c r="I115" s="3" t="str">
        <f aca="false">IFERROR(INDEX(Sistema!$C$2:$C$421,MATCH(D115,Sistema!$G$2:$G$421,0)),"")</f>
        <v>Samsung Chromebook 4</v>
      </c>
      <c r="J115" s="9" t="str">
        <f aca="false">IF(LEFT(C115,3)="09S",IFERROR(MID(INDEX(Sistema!$D$2:$D$421,MATCH(D115,Sistema!$G$2:$G$421,0)),15,5),""),"")</f>
        <v>V</v>
      </c>
      <c r="K115" s="9" t="str">
        <f aca="false">IF(H115="Não encontrado","Não encontrado",IF(H115&lt;&gt;A115,"Local diferente",IF(AND(E115&lt;&gt;"",J115&lt;&gt;"",UPPER(E115)&lt;&gt;UPPER(J115)),"Letra final diferente","Confere")))</f>
        <v>Confere</v>
      </c>
      <c r="L115" s="10"/>
      <c r="M115" s="10" t="s">
        <v>455</v>
      </c>
    </row>
    <row r="116" customFormat="false" ht="15" hidden="false" customHeight="false" outlineLevel="0" collapsed="false">
      <c r="A116" s="3" t="s">
        <v>13</v>
      </c>
      <c r="B116" s="9" t="n">
        <v>10</v>
      </c>
      <c r="C116" s="3" t="s">
        <v>456</v>
      </c>
      <c r="D116" s="3" t="str">
        <f aca="false">IF(LEFT(C116,3)="09S",LEFT(C116,14),C116)</f>
        <v>09S29QAR109581</v>
      </c>
      <c r="E116" s="9" t="str">
        <f aca="false">IF(LEFT(C116,3)="09S",MID(C116,15,5),"")</f>
        <v>W</v>
      </c>
      <c r="F116" s="9" t="n">
        <v>382756</v>
      </c>
      <c r="G116" s="3" t="s">
        <v>446</v>
      </c>
      <c r="H116" s="3" t="str">
        <f aca="false">IFERROR(INDEX(Sistema!$F$2:$F$421,MATCH(D116,Sistema!$G$2:$G$421,0)),"Não encontrado")</f>
        <v>Carrinho 05 ( ROXO)</v>
      </c>
      <c r="I116" s="3" t="str">
        <f aca="false">IFERROR(INDEX(Sistema!$C$2:$C$421,MATCH(D116,Sistema!$G$2:$G$421,0)),"")</f>
        <v>Samsung Chromebook 4</v>
      </c>
      <c r="J116" s="9" t="str">
        <f aca="false">IF(LEFT(C116,3)="09S",IFERROR(MID(INDEX(Sistema!$D$2:$D$421,MATCH(D116,Sistema!$G$2:$G$421,0)),15,5),""),"")</f>
        <v>W</v>
      </c>
      <c r="K116" s="9" t="str">
        <f aca="false">IF(H116="Não encontrado","Não encontrado",IF(H116&lt;&gt;A116,"Local diferente",IF(AND(E116&lt;&gt;"",J116&lt;&gt;"",UPPER(E116)&lt;&gt;UPPER(J116)),"Letra final diferente","Confere")))</f>
        <v>Confere</v>
      </c>
      <c r="L116" s="10"/>
      <c r="M116" s="10"/>
    </row>
    <row r="117" customFormat="false" ht="15" hidden="false" customHeight="false" outlineLevel="0" collapsed="false">
      <c r="A117" s="3" t="s">
        <v>13</v>
      </c>
      <c r="B117" s="9" t="n">
        <v>11</v>
      </c>
      <c r="C117" s="3" t="s">
        <v>457</v>
      </c>
      <c r="D117" s="3" t="str">
        <f aca="false">IF(LEFT(C117,3)="09S",LEFT(C117,14),C117)</f>
        <v>09S29QAR110792</v>
      </c>
      <c r="E117" s="9" t="str">
        <f aca="false">IF(LEFT(C117,3)="09S",MID(C117,15,5),"")</f>
        <v>X</v>
      </c>
      <c r="F117" s="9" t="n">
        <v>382693</v>
      </c>
      <c r="G117" s="3" t="s">
        <v>446</v>
      </c>
      <c r="H117" s="3" t="str">
        <f aca="false">IFERROR(INDEX(Sistema!$F$2:$F$421,MATCH(D117,Sistema!$G$2:$G$421,0)),"Não encontrado")</f>
        <v>Carrinho 05 ( ROXO)</v>
      </c>
      <c r="I117" s="3" t="str">
        <f aca="false">IFERROR(INDEX(Sistema!$C$2:$C$421,MATCH(D117,Sistema!$G$2:$G$421,0)),"")</f>
        <v>Samsung Chromebook 4</v>
      </c>
      <c r="J117" s="9" t="str">
        <f aca="false">IF(LEFT(C117,3)="09S",IFERROR(MID(INDEX(Sistema!$D$2:$D$421,MATCH(D117,Sistema!$G$2:$G$421,0)),15,5),""),"")</f>
        <v>X</v>
      </c>
      <c r="K117" s="9" t="str">
        <f aca="false">IF(H117="Não encontrado","Não encontrado",IF(H117&lt;&gt;A117,"Local diferente",IF(AND(E117&lt;&gt;"",J117&lt;&gt;"",UPPER(E117)&lt;&gt;UPPER(J117)),"Letra final diferente","Confere")))</f>
        <v>Confere</v>
      </c>
      <c r="L117" s="10"/>
      <c r="M117" s="10"/>
    </row>
    <row r="118" customFormat="false" ht="15" hidden="false" customHeight="false" outlineLevel="0" collapsed="false">
      <c r="A118" s="3" t="s">
        <v>13</v>
      </c>
      <c r="B118" s="9" t="n">
        <v>12</v>
      </c>
      <c r="C118" s="3" t="s">
        <v>458</v>
      </c>
      <c r="D118" s="3" t="str">
        <f aca="false">IF(LEFT(C118,3)="09S",LEFT(C118,14),C118)</f>
        <v>09S29QAR700170</v>
      </c>
      <c r="E118" s="9" t="str">
        <f aca="false">IF(LEFT(C118,3)="09S",MID(C118,15,5),"")</f>
        <v>W</v>
      </c>
      <c r="F118" s="9" t="n">
        <v>505066</v>
      </c>
      <c r="G118" s="3" t="s">
        <v>446</v>
      </c>
      <c r="H118" s="3" t="str">
        <f aca="false">IFERROR(INDEX(Sistema!$F$2:$F$421,MATCH(D118,Sistema!$G$2:$G$421,0)),"Não encontrado")</f>
        <v>Carrinho 05 ( ROXO)</v>
      </c>
      <c r="I118" s="3" t="str">
        <f aca="false">IFERROR(INDEX(Sistema!$C$2:$C$421,MATCH(D118,Sistema!$G$2:$G$421,0)),"")</f>
        <v>Samsung Chromebook 4 - 2021/Lote 1</v>
      </c>
      <c r="J118" s="9" t="str">
        <f aca="false">IF(LEFT(C118,3)="09S",IFERROR(MID(INDEX(Sistema!$D$2:$D$421,MATCH(D118,Sistema!$G$2:$G$421,0)),15,5),""),"")</f>
        <v/>
      </c>
      <c r="K118" s="9" t="str">
        <f aca="false">IF(H118="Não encontrado","Não encontrado",IF(H118&lt;&gt;A118,"Local diferente",IF(AND(E118&lt;&gt;"",J118&lt;&gt;"",UPPER(E118)&lt;&gt;UPPER(J118)),"Letra final diferente","Confere")))</f>
        <v>Confere</v>
      </c>
      <c r="L118" s="10"/>
      <c r="M118" s="10"/>
    </row>
    <row r="119" customFormat="false" ht="15" hidden="false" customHeight="false" outlineLevel="0" collapsed="false">
      <c r="A119" s="3" t="s">
        <v>13</v>
      </c>
      <c r="B119" s="9" t="n">
        <v>13</v>
      </c>
      <c r="C119" s="3" t="s">
        <v>459</v>
      </c>
      <c r="D119" s="3" t="str">
        <f aca="false">IF(LEFT(C119,3)="09S",LEFT(C119,14),C119)</f>
        <v>09S29QBR702359</v>
      </c>
      <c r="E119" s="9" t="str">
        <f aca="false">IF(LEFT(C119,3)="09S",MID(C119,15,5),"")</f>
        <v>W</v>
      </c>
      <c r="F119" s="9" t="n">
        <v>505112</v>
      </c>
      <c r="G119" s="3" t="s">
        <v>446</v>
      </c>
      <c r="H119" s="3" t="str">
        <f aca="false">IFERROR(INDEX(Sistema!$F$2:$F$421,MATCH(D119,Sistema!$G$2:$G$421,0)),"Não encontrado")</f>
        <v>Carrinho 05 ( ROXO)</v>
      </c>
      <c r="I119" s="3" t="str">
        <f aca="false">IFERROR(INDEX(Sistema!$C$2:$C$421,MATCH(D119,Sistema!$G$2:$G$421,0)),"")</f>
        <v>Samsung Chromebook 4 - 2021/Lote 1</v>
      </c>
      <c r="J119" s="9" t="str">
        <f aca="false">IF(LEFT(C119,3)="09S",IFERROR(MID(INDEX(Sistema!$D$2:$D$421,MATCH(D119,Sistema!$G$2:$G$421,0)),15,5),""),"")</f>
        <v/>
      </c>
      <c r="K119" s="9" t="str">
        <f aca="false">IF(H119="Não encontrado","Não encontrado",IF(H119&lt;&gt;A119,"Local diferente",IF(AND(E119&lt;&gt;"",J119&lt;&gt;"",UPPER(E119)&lt;&gt;UPPER(J119)),"Letra final diferente","Confere")))</f>
        <v>Confere</v>
      </c>
      <c r="L119" s="10"/>
      <c r="M119" s="10"/>
    </row>
    <row r="120" customFormat="false" ht="15" hidden="false" customHeight="false" outlineLevel="0" collapsed="false">
      <c r="A120" s="3" t="s">
        <v>13</v>
      </c>
      <c r="B120" s="9" t="n">
        <v>14</v>
      </c>
      <c r="C120" s="3" t="s">
        <v>460</v>
      </c>
      <c r="D120" s="3" t="str">
        <f aca="false">IF(LEFT(C120,3)="09S",LEFT(C120,14),C120)</f>
        <v>09S29QANC07293</v>
      </c>
      <c r="E120" s="9" t="str">
        <f aca="false">IF(LEFT(C120,3)="09S",MID(C120,15,5),"")</f>
        <v>L</v>
      </c>
      <c r="F120" s="9" t="n">
        <v>382888</v>
      </c>
      <c r="G120" s="3" t="s">
        <v>446</v>
      </c>
      <c r="H120" s="3" t="str">
        <f aca="false">IFERROR(INDEX(Sistema!$F$2:$F$421,MATCH(D120,Sistema!$G$2:$G$421,0)),"Não encontrado")</f>
        <v>Carrinho 05 ( ROXO)</v>
      </c>
      <c r="I120" s="3" t="str">
        <f aca="false">IFERROR(INDEX(Sistema!$C$2:$C$421,MATCH(D120,Sistema!$G$2:$G$421,0)),"")</f>
        <v>Samsung Chromebook 4</v>
      </c>
      <c r="J120" s="9" t="str">
        <f aca="false">IF(LEFT(C120,3)="09S",IFERROR(MID(INDEX(Sistema!$D$2:$D$421,MATCH(D120,Sistema!$G$2:$G$421,0)),15,5),""),"")</f>
        <v>L</v>
      </c>
      <c r="K120" s="9" t="str">
        <f aca="false">IF(H120="Não encontrado","Não encontrado",IF(H120&lt;&gt;A120,"Local diferente",IF(AND(E120&lt;&gt;"",J120&lt;&gt;"",UPPER(E120)&lt;&gt;UPPER(J120)),"Letra final diferente","Confere")))</f>
        <v>Confere</v>
      </c>
      <c r="L120" s="10"/>
      <c r="M120" s="10"/>
    </row>
    <row r="121" customFormat="false" ht="15" hidden="false" customHeight="false" outlineLevel="0" collapsed="false">
      <c r="A121" s="3" t="s">
        <v>13</v>
      </c>
      <c r="B121" s="9" t="n">
        <v>15</v>
      </c>
      <c r="C121" s="3" t="s">
        <v>461</v>
      </c>
      <c r="D121" s="3" t="str">
        <f aca="false">IF(LEFT(C121,3)="09S",LEFT(C121,14),C121)</f>
        <v>09S29QAR105567</v>
      </c>
      <c r="E121" s="9" t="str">
        <f aca="false">IF(LEFT(C121,3)="09S",MID(C121,15,5),"")</f>
        <v>Y</v>
      </c>
      <c r="F121" s="9" t="n">
        <v>382278</v>
      </c>
      <c r="G121" s="3" t="s">
        <v>446</v>
      </c>
      <c r="H121" s="3" t="str">
        <f aca="false">IFERROR(INDEX(Sistema!$F$2:$F$421,MATCH(D121,Sistema!$G$2:$G$421,0)),"Não encontrado")</f>
        <v>Carrinho 05 ( ROXO)</v>
      </c>
      <c r="I121" s="3" t="str">
        <f aca="false">IFERROR(INDEX(Sistema!$C$2:$C$421,MATCH(D121,Sistema!$G$2:$G$421,0)),"")</f>
        <v>Samsung Chromebook 4</v>
      </c>
      <c r="J121" s="9" t="str">
        <f aca="false">IF(LEFT(C121,3)="09S",IFERROR(MID(INDEX(Sistema!$D$2:$D$421,MATCH(D121,Sistema!$G$2:$G$421,0)),15,5),""),"")</f>
        <v>Y</v>
      </c>
      <c r="K121" s="9" t="str">
        <f aca="false">IF(H121="Não encontrado","Não encontrado",IF(H121&lt;&gt;A121,"Local diferente",IF(AND(E121&lt;&gt;"",J121&lt;&gt;"",UPPER(E121)&lt;&gt;UPPER(J121)),"Letra final diferente","Confere")))</f>
        <v>Confere</v>
      </c>
      <c r="L121" s="10"/>
      <c r="M121" s="10"/>
    </row>
    <row r="122" customFormat="false" ht="15" hidden="false" customHeight="false" outlineLevel="0" collapsed="false">
      <c r="A122" s="3" t="s">
        <v>13</v>
      </c>
      <c r="B122" s="9" t="n">
        <v>16</v>
      </c>
      <c r="C122" s="3" t="s">
        <v>462</v>
      </c>
      <c r="D122" s="3" t="str">
        <f aca="false">IF(LEFT(C122,3)="09S",LEFT(C122,14),C122)</f>
        <v>09S29QAR110919</v>
      </c>
      <c r="E122" s="9" t="str">
        <f aca="false">IF(LEFT(C122,3)="09S",MID(C122,15,5),"")</f>
        <v>A</v>
      </c>
      <c r="F122" s="9" t="n">
        <v>382685</v>
      </c>
      <c r="G122" s="3" t="s">
        <v>446</v>
      </c>
      <c r="H122" s="3" t="str">
        <f aca="false">IFERROR(INDEX(Sistema!$F$2:$F$421,MATCH(D122,Sistema!$G$2:$G$421,0)),"Não encontrado")</f>
        <v>Carrinho 05 ( ROXO)</v>
      </c>
      <c r="I122" s="3" t="str">
        <f aca="false">IFERROR(INDEX(Sistema!$C$2:$C$421,MATCH(D122,Sistema!$G$2:$G$421,0)),"")</f>
        <v>Samsung Chromebook 4</v>
      </c>
      <c r="J122" s="9" t="str">
        <f aca="false">IF(LEFT(C122,3)="09S",IFERROR(MID(INDEX(Sistema!$D$2:$D$421,MATCH(D122,Sistema!$G$2:$G$421,0)),15,5),""),"")</f>
        <v>A</v>
      </c>
      <c r="K122" s="9" t="str">
        <f aca="false">IF(H122="Não encontrado","Não encontrado",IF(H122&lt;&gt;A122,"Local diferente",IF(AND(E122&lt;&gt;"",J122&lt;&gt;"",UPPER(E122)&lt;&gt;UPPER(J122)),"Letra final diferente","Confere")))</f>
        <v>Confere</v>
      </c>
      <c r="L122" s="10"/>
      <c r="M122" s="10"/>
    </row>
    <row r="123" customFormat="false" ht="15" hidden="false" customHeight="false" outlineLevel="0" collapsed="false">
      <c r="A123" s="3" t="s">
        <v>13</v>
      </c>
      <c r="B123" s="9" t="n">
        <v>17</v>
      </c>
      <c r="C123" s="3" t="s">
        <v>463</v>
      </c>
      <c r="D123" s="3" t="str">
        <f aca="false">IF(LEFT(C123,3)="09S",LEFT(C123,14),C123)</f>
        <v>09S29QAR110841</v>
      </c>
      <c r="E123" s="9" t="str">
        <f aca="false">IF(LEFT(C123,3)="09S",MID(C123,15,5),"")</f>
        <v>R</v>
      </c>
      <c r="F123" s="9" t="n">
        <v>382835</v>
      </c>
      <c r="G123" s="3" t="s">
        <v>446</v>
      </c>
      <c r="H123" s="3" t="str">
        <f aca="false">IFERROR(INDEX(Sistema!$F$2:$F$421,MATCH(D123,Sistema!$G$2:$G$421,0)),"Não encontrado")</f>
        <v>Carrinho 05 ( ROXO)</v>
      </c>
      <c r="I123" s="3" t="str">
        <f aca="false">IFERROR(INDEX(Sistema!$C$2:$C$421,MATCH(D123,Sistema!$G$2:$G$421,0)),"")</f>
        <v>Samsung Chromebook 4</v>
      </c>
      <c r="J123" s="9" t="str">
        <f aca="false">IF(LEFT(C123,3)="09S",IFERROR(MID(INDEX(Sistema!$D$2:$D$421,MATCH(D123,Sistema!$G$2:$G$421,0)),15,5),""),"")</f>
        <v>R</v>
      </c>
      <c r="K123" s="9" t="str">
        <f aca="false">IF(H123="Não encontrado","Não encontrado",IF(H123&lt;&gt;A123,"Local diferente",IF(AND(E123&lt;&gt;"",J123&lt;&gt;"",UPPER(E123)&lt;&gt;UPPER(J123)),"Letra final diferente","Confere")))</f>
        <v>Confere</v>
      </c>
      <c r="L123" s="10"/>
      <c r="M123" s="10"/>
    </row>
    <row r="124" customFormat="false" ht="15" hidden="false" customHeight="false" outlineLevel="0" collapsed="false">
      <c r="A124" s="3" t="s">
        <v>13</v>
      </c>
      <c r="B124" s="9" t="n">
        <v>18</v>
      </c>
      <c r="C124" s="3" t="s">
        <v>464</v>
      </c>
      <c r="D124" s="3" t="str">
        <f aca="false">IF(LEFT(C124,3)="09S",LEFT(C124,14),C124)</f>
        <v>09S29QAR109695</v>
      </c>
      <c r="E124" s="9" t="str">
        <f aca="false">IF(LEFT(C124,3)="09S",MID(C124,15,5),"")</f>
        <v>V</v>
      </c>
      <c r="F124" s="9" t="n">
        <v>382739</v>
      </c>
      <c r="G124" s="3" t="s">
        <v>446</v>
      </c>
      <c r="H124" s="3" t="str">
        <f aca="false">IFERROR(INDEX(Sistema!$F$2:$F$421,MATCH(D124,Sistema!$G$2:$G$421,0)),"Não encontrado")</f>
        <v>Carrinho 05 ( ROXO)</v>
      </c>
      <c r="I124" s="3" t="str">
        <f aca="false">IFERROR(INDEX(Sistema!$C$2:$C$421,MATCH(D124,Sistema!$G$2:$G$421,0)),"")</f>
        <v>Samsung Chromebook 4</v>
      </c>
      <c r="J124" s="9" t="str">
        <f aca="false">IF(LEFT(C124,3)="09S",IFERROR(MID(INDEX(Sistema!$D$2:$D$421,MATCH(D124,Sistema!$G$2:$G$421,0)),15,5),""),"")</f>
        <v>V</v>
      </c>
      <c r="K124" s="9" t="str">
        <f aca="false">IF(H124="Não encontrado","Não encontrado",IF(H124&lt;&gt;A124,"Local diferente",IF(AND(E124&lt;&gt;"",J124&lt;&gt;"",UPPER(E124)&lt;&gt;UPPER(J124)),"Letra final diferente","Confere")))</f>
        <v>Confere</v>
      </c>
      <c r="L124" s="10"/>
      <c r="M124" s="10"/>
    </row>
    <row r="125" customFormat="false" ht="15" hidden="false" customHeight="false" outlineLevel="0" collapsed="false">
      <c r="A125" s="3" t="s">
        <v>13</v>
      </c>
      <c r="B125" s="9" t="n">
        <v>19</v>
      </c>
      <c r="C125" s="3" t="s">
        <v>465</v>
      </c>
      <c r="D125" s="3" t="str">
        <f aca="false">IF(LEFT(C125,3)="09S",LEFT(C125,14),C125)</f>
        <v>09S29QAR110814</v>
      </c>
      <c r="E125" s="9" t="str">
        <f aca="false">IF(LEFT(C125,3)="09S",MID(C125,15,5),"")</f>
        <v>P</v>
      </c>
      <c r="F125" s="9" t="n">
        <v>382713</v>
      </c>
      <c r="G125" s="3" t="s">
        <v>446</v>
      </c>
      <c r="H125" s="3" t="str">
        <f aca="false">IFERROR(INDEX(Sistema!$F$2:$F$421,MATCH(D125,Sistema!$G$2:$G$421,0)),"Não encontrado")</f>
        <v>Carrinho 05 ( ROXO)</v>
      </c>
      <c r="I125" s="3" t="str">
        <f aca="false">IFERROR(INDEX(Sistema!$C$2:$C$421,MATCH(D125,Sistema!$G$2:$G$421,0)),"")</f>
        <v>Samsung Chromebook 4</v>
      </c>
      <c r="J125" s="9" t="str">
        <f aca="false">IF(LEFT(C125,3)="09S",IFERROR(MID(INDEX(Sistema!$D$2:$D$421,MATCH(D125,Sistema!$G$2:$G$421,0)),15,5),""),"")</f>
        <v>P</v>
      </c>
      <c r="K125" s="9" t="str">
        <f aca="false">IF(H125="Não encontrado","Não encontrado",IF(H125&lt;&gt;A125,"Local diferente",IF(AND(E125&lt;&gt;"",J125&lt;&gt;"",UPPER(E125)&lt;&gt;UPPER(J125)),"Letra final diferente","Confere")))</f>
        <v>Confere</v>
      </c>
      <c r="L125" s="10"/>
      <c r="M125" s="10"/>
    </row>
    <row r="126" customFormat="false" ht="15" hidden="false" customHeight="false" outlineLevel="0" collapsed="false">
      <c r="A126" s="3" t="s">
        <v>13</v>
      </c>
      <c r="B126" s="9" t="n">
        <v>20</v>
      </c>
      <c r="C126" s="3" t="s">
        <v>466</v>
      </c>
      <c r="D126" s="3" t="str">
        <f aca="false">IF(LEFT(C126,3)="09S",LEFT(C126,14),C126)</f>
        <v>09S29QAR111074</v>
      </c>
      <c r="E126" s="9" t="str">
        <f aca="false">IF(LEFT(C126,3)="09S",MID(C126,15,5),"")</f>
        <v>J</v>
      </c>
      <c r="F126" s="9" t="n">
        <v>382767</v>
      </c>
      <c r="G126" s="3" t="s">
        <v>446</v>
      </c>
      <c r="H126" s="3" t="str">
        <f aca="false">IFERROR(INDEX(Sistema!$F$2:$F$421,MATCH(D126,Sistema!$G$2:$G$421,0)),"Não encontrado")</f>
        <v>Carrinho 05 ( ROXO)</v>
      </c>
      <c r="I126" s="3" t="str">
        <f aca="false">IFERROR(INDEX(Sistema!$C$2:$C$421,MATCH(D126,Sistema!$G$2:$G$421,0)),"")</f>
        <v>Samsung Chromebook 4</v>
      </c>
      <c r="J126" s="9" t="str">
        <f aca="false">IF(LEFT(C126,3)="09S",IFERROR(MID(INDEX(Sistema!$D$2:$D$421,MATCH(D126,Sistema!$G$2:$G$421,0)),15,5),""),"")</f>
        <v>J</v>
      </c>
      <c r="K126" s="9" t="str">
        <f aca="false">IF(H126="Não encontrado","Não encontrado",IF(H126&lt;&gt;A126,"Local diferente",IF(AND(E126&lt;&gt;"",J126&lt;&gt;"",UPPER(E126)&lt;&gt;UPPER(J126)),"Letra final diferente","Confere")))</f>
        <v>Confere</v>
      </c>
      <c r="L126" s="10"/>
      <c r="M126" s="10"/>
    </row>
    <row r="127" customFormat="false" ht="15" hidden="false" customHeight="false" outlineLevel="0" collapsed="false">
      <c r="A127" s="3" t="s">
        <v>13</v>
      </c>
      <c r="B127" s="9" t="n">
        <v>21</v>
      </c>
      <c r="C127" s="3" t="s">
        <v>467</v>
      </c>
      <c r="D127" s="3" t="str">
        <f aca="false">IF(LEFT(C127,3)="09S",LEFT(C127,14),C127)</f>
        <v>09S29QAR110809</v>
      </c>
      <c r="E127" s="9" t="str">
        <f aca="false">IF(LEFT(C127,3)="09S",MID(C127,15,5),"")</f>
        <v>K</v>
      </c>
      <c r="F127" s="9" t="n">
        <v>382778</v>
      </c>
      <c r="G127" s="3" t="s">
        <v>446</v>
      </c>
      <c r="H127" s="3" t="str">
        <f aca="false">IFERROR(INDEX(Sistema!$F$2:$F$421,MATCH(D127,Sistema!$G$2:$G$421,0)),"Não encontrado")</f>
        <v>Carrinho 05 ( ROXO)</v>
      </c>
      <c r="I127" s="3" t="str">
        <f aca="false">IFERROR(INDEX(Sistema!$C$2:$C$421,MATCH(D127,Sistema!$G$2:$G$421,0)),"")</f>
        <v>Samsung Chromebook 4</v>
      </c>
      <c r="J127" s="9" t="str">
        <f aca="false">IF(LEFT(C127,3)="09S",IFERROR(MID(INDEX(Sistema!$D$2:$D$421,MATCH(D127,Sistema!$G$2:$G$421,0)),15,5),""),"")</f>
        <v>K</v>
      </c>
      <c r="K127" s="9" t="str">
        <f aca="false">IF(H127="Não encontrado","Não encontrado",IF(H127&lt;&gt;A127,"Local diferente",IF(AND(E127&lt;&gt;"",J127&lt;&gt;"",UPPER(E127)&lt;&gt;UPPER(J127)),"Letra final diferente","Confere")))</f>
        <v>Confere</v>
      </c>
      <c r="L127" s="10"/>
      <c r="M127" s="10"/>
    </row>
    <row r="128" customFormat="false" ht="15" hidden="false" customHeight="false" outlineLevel="0" collapsed="false">
      <c r="A128" s="3" t="s">
        <v>13</v>
      </c>
      <c r="B128" s="9" t="n">
        <v>22</v>
      </c>
      <c r="C128" s="3" t="s">
        <v>468</v>
      </c>
      <c r="D128" s="3" t="str">
        <f aca="false">IF(LEFT(C128,3)="09S",LEFT(C128,14),C128)</f>
        <v>09S29QAR111054</v>
      </c>
      <c r="E128" s="9" t="str">
        <f aca="false">IF(LEFT(C128,3)="09S",MID(C128,15,5),"")</f>
        <v>F</v>
      </c>
      <c r="F128" s="9" t="n">
        <v>382812</v>
      </c>
      <c r="G128" s="3" t="s">
        <v>446</v>
      </c>
      <c r="H128" s="3" t="str">
        <f aca="false">IFERROR(INDEX(Sistema!$F$2:$F$421,MATCH(D128,Sistema!$G$2:$G$421,0)),"Não encontrado")</f>
        <v>Carrinho 05 ( ROXO)</v>
      </c>
      <c r="I128" s="3" t="str">
        <f aca="false">IFERROR(INDEX(Sistema!$C$2:$C$421,MATCH(D128,Sistema!$G$2:$G$421,0)),"")</f>
        <v>Samsung Chromebook 4</v>
      </c>
      <c r="J128" s="9" t="str">
        <f aca="false">IF(LEFT(C128,3)="09S",IFERROR(MID(INDEX(Sistema!$D$2:$D$421,MATCH(D128,Sistema!$G$2:$G$421,0)),15,5),""),"")</f>
        <v>F</v>
      </c>
      <c r="K128" s="9" t="str">
        <f aca="false">IF(H128="Não encontrado","Não encontrado",IF(H128&lt;&gt;A128,"Local diferente",IF(AND(E128&lt;&gt;"",J128&lt;&gt;"",UPPER(E128)&lt;&gt;UPPER(J128)),"Letra final diferente","Confere")))</f>
        <v>Confere</v>
      </c>
      <c r="L128" s="10"/>
      <c r="M128" s="10"/>
    </row>
    <row r="129" customFormat="false" ht="15" hidden="false" customHeight="false" outlineLevel="0" collapsed="false">
      <c r="A129" s="3" t="s">
        <v>13</v>
      </c>
      <c r="B129" s="9" t="n">
        <v>23</v>
      </c>
      <c r="C129" s="3" t="s">
        <v>469</v>
      </c>
      <c r="D129" s="3" t="str">
        <f aca="false">IF(LEFT(C129,3)="09S",LEFT(C129,14),C129)</f>
        <v>09S29QAR109427</v>
      </c>
      <c r="E129" s="9" t="str">
        <f aca="false">IF(LEFT(C129,3)="09S",MID(C129,15,5),"")</f>
        <v>R</v>
      </c>
      <c r="F129" s="9" t="n">
        <v>382727</v>
      </c>
      <c r="G129" s="3" t="s">
        <v>446</v>
      </c>
      <c r="H129" s="3" t="str">
        <f aca="false">IFERROR(INDEX(Sistema!$F$2:$F$421,MATCH(D129,Sistema!$G$2:$G$421,0)),"Não encontrado")</f>
        <v>Carrinho 05 ( ROXO)</v>
      </c>
      <c r="I129" s="3" t="str">
        <f aca="false">IFERROR(INDEX(Sistema!$C$2:$C$421,MATCH(D129,Sistema!$G$2:$G$421,0)),"")</f>
        <v>Samsung Chromebook 4</v>
      </c>
      <c r="J129" s="9" t="str">
        <f aca="false">IF(LEFT(C129,3)="09S",IFERROR(MID(INDEX(Sistema!$D$2:$D$421,MATCH(D129,Sistema!$G$2:$G$421,0)),15,5),""),"")</f>
        <v>R</v>
      </c>
      <c r="K129" s="9" t="str">
        <f aca="false">IF(H129="Não encontrado","Não encontrado",IF(H129&lt;&gt;A129,"Local diferente",IF(AND(E129&lt;&gt;"",J129&lt;&gt;"",UPPER(E129)&lt;&gt;UPPER(J129)),"Letra final diferente","Confere")))</f>
        <v>Confere</v>
      </c>
      <c r="L129" s="10"/>
      <c r="M129" s="10"/>
    </row>
    <row r="130" customFormat="false" ht="15" hidden="false" customHeight="false" outlineLevel="0" collapsed="false">
      <c r="A130" s="3" t="s">
        <v>13</v>
      </c>
      <c r="B130" s="9" t="n">
        <v>24</v>
      </c>
      <c r="C130" s="3" t="s">
        <v>470</v>
      </c>
      <c r="D130" s="3" t="str">
        <f aca="false">IF(LEFT(C130,3)="09S",LEFT(C130,14),C130)</f>
        <v>09S29QBR702231</v>
      </c>
      <c r="E130" s="9" t="str">
        <f aca="false">IF(LEFT(C130,3)="09S",MID(C130,15,5),"")</f>
        <v>Z</v>
      </c>
      <c r="F130" s="9" t="n">
        <v>505297</v>
      </c>
      <c r="G130" s="3" t="s">
        <v>446</v>
      </c>
      <c r="H130" s="3" t="str">
        <f aca="false">IFERROR(INDEX(Sistema!$F$2:$F$421,MATCH(D130,Sistema!$G$2:$G$421,0)),"Não encontrado")</f>
        <v>Carrinho 05 ( ROXO)</v>
      </c>
      <c r="I130" s="3" t="str">
        <f aca="false">IFERROR(INDEX(Sistema!$C$2:$C$421,MATCH(D130,Sistema!$G$2:$G$421,0)),"")</f>
        <v>Samsung Chromebook 4 - 2021/Lote 1</v>
      </c>
      <c r="J130" s="9" t="str">
        <f aca="false">IF(LEFT(C130,3)="09S",IFERROR(MID(INDEX(Sistema!$D$2:$D$421,MATCH(D130,Sistema!$G$2:$G$421,0)),15,5),""),"")</f>
        <v/>
      </c>
      <c r="K130" s="9" t="str">
        <f aca="false">IF(H130="Não encontrado","Não encontrado",IF(H130&lt;&gt;A130,"Local diferente",IF(AND(E130&lt;&gt;"",J130&lt;&gt;"",UPPER(E130)&lt;&gt;UPPER(J130)),"Letra final diferente","Confere")))</f>
        <v>Confere</v>
      </c>
      <c r="L130" s="10"/>
      <c r="M130" s="10"/>
    </row>
    <row r="131" customFormat="false" ht="15" hidden="false" customHeight="false" outlineLevel="0" collapsed="false">
      <c r="A131" s="3" t="s">
        <v>13</v>
      </c>
      <c r="B131" s="9" t="n">
        <v>25</v>
      </c>
      <c r="C131" s="3" t="s">
        <v>471</v>
      </c>
      <c r="D131" s="3" t="str">
        <f aca="false">IF(LEFT(C131,3)="09S",LEFT(C131,14),C131)</f>
        <v>09S29QBR704308</v>
      </c>
      <c r="E131" s="9" t="str">
        <f aca="false">IF(LEFT(C131,3)="09S",MID(C131,15,5),"")</f>
        <v>D</v>
      </c>
      <c r="F131" s="9" t="n">
        <v>505065</v>
      </c>
      <c r="G131" s="3" t="s">
        <v>446</v>
      </c>
      <c r="H131" s="3" t="str">
        <f aca="false">IFERROR(INDEX(Sistema!$F$2:$F$421,MATCH(D131,Sistema!$G$2:$G$421,0)),"Não encontrado")</f>
        <v>Carrinho 05 ( ROXO)</v>
      </c>
      <c r="I131" s="3" t="str">
        <f aca="false">IFERROR(INDEX(Sistema!$C$2:$C$421,MATCH(D131,Sistema!$G$2:$G$421,0)),"")</f>
        <v>Samsung Chromebook 4 - 2021/Lote 1</v>
      </c>
      <c r="J131" s="9" t="str">
        <f aca="false">IF(LEFT(C131,3)="09S",IFERROR(MID(INDEX(Sistema!$D$2:$D$421,MATCH(D131,Sistema!$G$2:$G$421,0)),15,5),""),"")</f>
        <v/>
      </c>
      <c r="K131" s="9" t="str">
        <f aca="false">IF(H131="Não encontrado","Não encontrado",IF(H131&lt;&gt;A131,"Local diferente",IF(AND(E131&lt;&gt;"",J131&lt;&gt;"",UPPER(E131)&lt;&gt;UPPER(J131)),"Letra final diferente","Confere")))</f>
        <v>Confere</v>
      </c>
      <c r="L131" s="10"/>
      <c r="M131" s="10"/>
    </row>
    <row r="132" customFormat="false" ht="15" hidden="false" customHeight="false" outlineLevel="0" collapsed="false">
      <c r="A132" s="3" t="s">
        <v>14</v>
      </c>
      <c r="B132" s="9" t="n">
        <v>1</v>
      </c>
      <c r="C132" s="3" t="s">
        <v>472</v>
      </c>
      <c r="D132" s="3" t="str">
        <f aca="false">IF(LEFT(C132,3)="09S",LEFT(C132,14),C132)</f>
        <v>09S29QAR109477</v>
      </c>
      <c r="E132" s="9" t="str">
        <f aca="false">IF(LEFT(C132,3)="09S",MID(C132,15,5),"")</f>
        <v>E</v>
      </c>
      <c r="F132" s="9" t="n">
        <v>382688</v>
      </c>
      <c r="G132" s="3" t="s">
        <v>446</v>
      </c>
      <c r="H132" s="3" t="str">
        <f aca="false">IFERROR(INDEX(Sistema!$F$2:$F$421,MATCH(D132,Sistema!$G$2:$G$421,0)),"Não encontrado")</f>
        <v>Carrinho 06 ( VERDE)</v>
      </c>
      <c r="I132" s="3" t="str">
        <f aca="false">IFERROR(INDEX(Sistema!$C$2:$C$421,MATCH(D132,Sistema!$G$2:$G$421,0)),"")</f>
        <v>Samsung Chromebook 4</v>
      </c>
      <c r="J132" s="9" t="str">
        <f aca="false">IF(LEFT(C132,3)="09S",IFERROR(MID(INDEX(Sistema!$D$2:$D$421,MATCH(D132,Sistema!$G$2:$G$421,0)),15,5),""),"")</f>
        <v>E</v>
      </c>
      <c r="K132" s="9" t="str">
        <f aca="false">IF(H132="Não encontrado","Não encontrado",IF(H132&lt;&gt;A132,"Local diferente",IF(AND(E132&lt;&gt;"",J132&lt;&gt;"",UPPER(E132)&lt;&gt;UPPER(J132)),"Letra final diferente","Confere")))</f>
        <v>Confere</v>
      </c>
      <c r="L132" s="10"/>
      <c r="M132" s="10"/>
    </row>
    <row r="133" customFormat="false" ht="15" hidden="false" customHeight="false" outlineLevel="0" collapsed="false">
      <c r="A133" s="3" t="s">
        <v>14</v>
      </c>
      <c r="B133" s="9" t="n">
        <v>2</v>
      </c>
      <c r="C133" s="3" t="s">
        <v>473</v>
      </c>
      <c r="D133" s="3" t="str">
        <f aca="false">IF(LEFT(C133,3)="09S",LEFT(C133,14),C133)</f>
        <v>09S29QAR110990</v>
      </c>
      <c r="E133" s="9" t="str">
        <f aca="false">IF(LEFT(C133,3)="09S",MID(C133,15,5),"")</f>
        <v>R</v>
      </c>
      <c r="F133" s="9" t="n">
        <v>382791</v>
      </c>
      <c r="G133" s="3" t="s">
        <v>446</v>
      </c>
      <c r="H133" s="3" t="str">
        <f aca="false">IFERROR(INDEX(Sistema!$F$2:$F$421,MATCH(D133,Sistema!$G$2:$G$421,0)),"Não encontrado")</f>
        <v>Carrinho 06 ( VERDE)</v>
      </c>
      <c r="I133" s="3" t="str">
        <f aca="false">IFERROR(INDEX(Sistema!$C$2:$C$421,MATCH(D133,Sistema!$G$2:$G$421,0)),"")</f>
        <v>Samsung Chromebook 4</v>
      </c>
      <c r="J133" s="9" t="str">
        <f aca="false">IF(LEFT(C133,3)="09S",IFERROR(MID(INDEX(Sistema!$D$2:$D$421,MATCH(D133,Sistema!$G$2:$G$421,0)),15,5),""),"")</f>
        <v>R</v>
      </c>
      <c r="K133" s="9" t="str">
        <f aca="false">IF(H133="Não encontrado","Não encontrado",IF(H133&lt;&gt;A133,"Local diferente",IF(AND(E133&lt;&gt;"",J133&lt;&gt;"",UPPER(E133)&lt;&gt;UPPER(J133)),"Letra final diferente","Confere")))</f>
        <v>Confere</v>
      </c>
      <c r="L133" s="10"/>
      <c r="M133" s="10"/>
    </row>
    <row r="134" customFormat="false" ht="15" hidden="false" customHeight="false" outlineLevel="0" collapsed="false">
      <c r="A134" s="3" t="s">
        <v>14</v>
      </c>
      <c r="B134" s="9" t="n">
        <v>3</v>
      </c>
      <c r="C134" s="3" t="s">
        <v>474</v>
      </c>
      <c r="D134" s="3" t="str">
        <f aca="false">IF(LEFT(C134,3)="09S",LEFT(C134,14),C134)</f>
        <v>09S29QAR110788</v>
      </c>
      <c r="E134" s="9" t="str">
        <f aca="false">IF(LEFT(C134,3)="09S",MID(C134,15,5),"")</f>
        <v>H</v>
      </c>
      <c r="F134" s="9" t="n">
        <v>382799</v>
      </c>
      <c r="G134" s="3" t="s">
        <v>446</v>
      </c>
      <c r="H134" s="3" t="str">
        <f aca="false">IFERROR(INDEX(Sistema!$F$2:$F$421,MATCH(D134,Sistema!$G$2:$G$421,0)),"Não encontrado")</f>
        <v>Carrinho 06 ( VERDE)</v>
      </c>
      <c r="I134" s="3" t="str">
        <f aca="false">IFERROR(INDEX(Sistema!$C$2:$C$421,MATCH(D134,Sistema!$G$2:$G$421,0)),"")</f>
        <v>Samsung Chromebook 4</v>
      </c>
      <c r="J134" s="9" t="str">
        <f aca="false">IF(LEFT(C134,3)="09S",IFERROR(MID(INDEX(Sistema!$D$2:$D$421,MATCH(D134,Sistema!$G$2:$G$421,0)),15,5),""),"")</f>
        <v>H</v>
      </c>
      <c r="K134" s="9" t="str">
        <f aca="false">IF(H134="Não encontrado","Não encontrado",IF(H134&lt;&gt;A134,"Local diferente",IF(AND(E134&lt;&gt;"",J134&lt;&gt;"",UPPER(E134)&lt;&gt;UPPER(J134)),"Letra final diferente","Confere")))</f>
        <v>Confere</v>
      </c>
      <c r="L134" s="10"/>
      <c r="M134" s="10"/>
    </row>
    <row r="135" customFormat="false" ht="15" hidden="false" customHeight="false" outlineLevel="0" collapsed="false">
      <c r="A135" s="3" t="s">
        <v>14</v>
      </c>
      <c r="B135" s="9" t="n">
        <v>4</v>
      </c>
      <c r="C135" s="3" t="s">
        <v>475</v>
      </c>
      <c r="D135" s="3" t="str">
        <f aca="false">IF(LEFT(C135,3)="09S",LEFT(C135,14),C135)</f>
        <v>09S29QANC07312</v>
      </c>
      <c r="E135" s="9" t="str">
        <f aca="false">IF(LEFT(C135,3)="09S",MID(C135,15,5),"")</f>
        <v>R</v>
      </c>
      <c r="F135" s="9" t="n">
        <v>382891</v>
      </c>
      <c r="G135" s="3" t="s">
        <v>446</v>
      </c>
      <c r="H135" s="3" t="str">
        <f aca="false">IFERROR(INDEX(Sistema!$F$2:$F$421,MATCH(D135,Sistema!$G$2:$G$421,0)),"Não encontrado")</f>
        <v>Carrinho 06 ( VERDE)</v>
      </c>
      <c r="I135" s="3" t="str">
        <f aca="false">IFERROR(INDEX(Sistema!$C$2:$C$421,MATCH(D135,Sistema!$G$2:$G$421,0)),"")</f>
        <v>Samsung Chromebook 4</v>
      </c>
      <c r="J135" s="9" t="str">
        <f aca="false">IF(LEFT(C135,3)="09S",IFERROR(MID(INDEX(Sistema!$D$2:$D$421,MATCH(D135,Sistema!$G$2:$G$421,0)),15,5),""),"")</f>
        <v>R</v>
      </c>
      <c r="K135" s="9" t="str">
        <f aca="false">IF(H135="Não encontrado","Não encontrado",IF(H135&lt;&gt;A135,"Local diferente",IF(AND(E135&lt;&gt;"",J135&lt;&gt;"",UPPER(E135)&lt;&gt;UPPER(J135)),"Letra final diferente","Confere")))</f>
        <v>Confere</v>
      </c>
      <c r="L135" s="10"/>
      <c r="M135" s="10"/>
    </row>
    <row r="136" customFormat="false" ht="15" hidden="false" customHeight="false" outlineLevel="0" collapsed="false">
      <c r="A136" s="3" t="s">
        <v>14</v>
      </c>
      <c r="B136" s="9" t="n">
        <v>5</v>
      </c>
      <c r="C136" s="3" t="s">
        <v>476</v>
      </c>
      <c r="D136" s="3" t="str">
        <f aca="false">IF(LEFT(C136,3)="09S",LEFT(C136,14),C136)</f>
        <v>09S29QAR110777</v>
      </c>
      <c r="E136" s="9" t="str">
        <f aca="false">IF(LEFT(C136,3)="09S",MID(C136,15,5),"")</f>
        <v>R</v>
      </c>
      <c r="F136" s="9" t="n">
        <v>382761</v>
      </c>
      <c r="G136" s="3" t="s">
        <v>446</v>
      </c>
      <c r="H136" s="3" t="str">
        <f aca="false">IFERROR(INDEX(Sistema!$F$2:$F$421,MATCH(D136,Sistema!$G$2:$G$421,0)),"Não encontrado")</f>
        <v>Carrinho 06 ( VERDE)</v>
      </c>
      <c r="I136" s="3" t="str">
        <f aca="false">IFERROR(INDEX(Sistema!$C$2:$C$421,MATCH(D136,Sistema!$G$2:$G$421,0)),"")</f>
        <v>Samsung Chromebook 4</v>
      </c>
      <c r="J136" s="9" t="str">
        <f aca="false">IF(LEFT(C136,3)="09S",IFERROR(MID(INDEX(Sistema!$D$2:$D$421,MATCH(D136,Sistema!$G$2:$G$421,0)),15,5),""),"")</f>
        <v>R</v>
      </c>
      <c r="K136" s="9" t="str">
        <f aca="false">IF(H136="Não encontrado","Não encontrado",IF(H136&lt;&gt;A136,"Local diferente",IF(AND(E136&lt;&gt;"",J136&lt;&gt;"",UPPER(E136)&lt;&gt;UPPER(J136)),"Letra final diferente","Confere")))</f>
        <v>Confere</v>
      </c>
      <c r="L136" s="10"/>
      <c r="M136" s="10"/>
    </row>
    <row r="137" customFormat="false" ht="15" hidden="false" customHeight="false" outlineLevel="0" collapsed="false">
      <c r="A137" s="3" t="s">
        <v>14</v>
      </c>
      <c r="B137" s="9" t="n">
        <v>6</v>
      </c>
      <c r="C137" s="3" t="s">
        <v>477</v>
      </c>
      <c r="D137" s="3" t="str">
        <f aca="false">IF(LEFT(C137,3)="09S",LEFT(C137,14),C137)</f>
        <v>09S29QAR110764</v>
      </c>
      <c r="E137" s="9" t="str">
        <f aca="false">IF(LEFT(C137,3)="09S",MID(C137,15,5),"")</f>
        <v>R</v>
      </c>
      <c r="F137" s="9" t="n">
        <v>382834</v>
      </c>
      <c r="G137" s="3" t="s">
        <v>446</v>
      </c>
      <c r="H137" s="3" t="str">
        <f aca="false">IFERROR(INDEX(Sistema!$F$2:$F$421,MATCH(D137,Sistema!$G$2:$G$421,0)),"Não encontrado")</f>
        <v>Carrinho 06 ( VERDE)</v>
      </c>
      <c r="I137" s="3" t="str">
        <f aca="false">IFERROR(INDEX(Sistema!$C$2:$C$421,MATCH(D137,Sistema!$G$2:$G$421,0)),"")</f>
        <v>Samsung Chromebook 4</v>
      </c>
      <c r="J137" s="9" t="str">
        <f aca="false">IF(LEFT(C137,3)="09S",IFERROR(MID(INDEX(Sistema!$D$2:$D$421,MATCH(D137,Sistema!$G$2:$G$421,0)),15,5),""),"")</f>
        <v>R</v>
      </c>
      <c r="K137" s="9" t="str">
        <f aca="false">IF(H137="Não encontrado","Não encontrado",IF(H137&lt;&gt;A137,"Local diferente",IF(AND(E137&lt;&gt;"",J137&lt;&gt;"",UPPER(E137)&lt;&gt;UPPER(J137)),"Letra final diferente","Confere")))</f>
        <v>Confere</v>
      </c>
      <c r="L137" s="10"/>
      <c r="M137" s="10"/>
    </row>
    <row r="138" customFormat="false" ht="15" hidden="false" customHeight="false" outlineLevel="0" collapsed="false">
      <c r="A138" s="3" t="s">
        <v>14</v>
      </c>
      <c r="B138" s="9" t="n">
        <v>7</v>
      </c>
      <c r="C138" s="3" t="s">
        <v>478</v>
      </c>
      <c r="D138" s="3" t="str">
        <f aca="false">IF(LEFT(C138,3)="09S",LEFT(C138,14),C138)</f>
        <v>09S29QAR110847</v>
      </c>
      <c r="E138" s="9" t="str">
        <f aca="false">IF(LEFT(C138,3)="09S",MID(C138,15,5),"")</f>
        <v>N</v>
      </c>
      <c r="F138" s="9" t="n">
        <v>382740</v>
      </c>
      <c r="G138" s="3" t="s">
        <v>446</v>
      </c>
      <c r="H138" s="3" t="str">
        <f aca="false">IFERROR(INDEX(Sistema!$F$2:$F$421,MATCH(D138,Sistema!$G$2:$G$421,0)),"Não encontrado")</f>
        <v>Carrinho 06 ( VERDE)</v>
      </c>
      <c r="I138" s="3" t="str">
        <f aca="false">IFERROR(INDEX(Sistema!$C$2:$C$421,MATCH(D138,Sistema!$G$2:$G$421,0)),"")</f>
        <v>Samsung Chromebook 4</v>
      </c>
      <c r="J138" s="9" t="str">
        <f aca="false">IF(LEFT(C138,3)="09S",IFERROR(MID(INDEX(Sistema!$D$2:$D$421,MATCH(D138,Sistema!$G$2:$G$421,0)),15,5),""),"")</f>
        <v>N</v>
      </c>
      <c r="K138" s="9" t="str">
        <f aca="false">IF(H138="Não encontrado","Não encontrado",IF(H138&lt;&gt;A138,"Local diferente",IF(AND(E138&lt;&gt;"",J138&lt;&gt;"",UPPER(E138)&lt;&gt;UPPER(J138)),"Letra final diferente","Confere")))</f>
        <v>Confere</v>
      </c>
      <c r="L138" s="10"/>
      <c r="M138" s="10"/>
    </row>
    <row r="139" customFormat="false" ht="15" hidden="false" customHeight="false" outlineLevel="0" collapsed="false">
      <c r="A139" s="3" t="s">
        <v>14</v>
      </c>
      <c r="B139" s="9" t="n">
        <v>8</v>
      </c>
      <c r="C139" s="3" t="s">
        <v>479</v>
      </c>
      <c r="D139" s="3" t="str">
        <f aca="false">IF(LEFT(C139,3)="09S",LEFT(C139,14),C139)</f>
        <v>09S29QAR109527</v>
      </c>
      <c r="E139" s="9" t="str">
        <f aca="false">IF(LEFT(C139,3)="09S",MID(C139,15,5),"")</f>
        <v>Y</v>
      </c>
      <c r="F139" s="9" t="n">
        <v>382733</v>
      </c>
      <c r="G139" s="3" t="s">
        <v>446</v>
      </c>
      <c r="H139" s="3" t="str">
        <f aca="false">IFERROR(INDEX(Sistema!$F$2:$F$421,MATCH(D139,Sistema!$G$2:$G$421,0)),"Não encontrado")</f>
        <v>Carrinho 06 ( VERDE)</v>
      </c>
      <c r="I139" s="3" t="str">
        <f aca="false">IFERROR(INDEX(Sistema!$C$2:$C$421,MATCH(D139,Sistema!$G$2:$G$421,0)),"")</f>
        <v>Samsung Chromebook 4</v>
      </c>
      <c r="J139" s="9" t="str">
        <f aca="false">IF(LEFT(C139,3)="09S",IFERROR(MID(INDEX(Sistema!$D$2:$D$421,MATCH(D139,Sistema!$G$2:$G$421,0)),15,5),""),"")</f>
        <v>Y</v>
      </c>
      <c r="K139" s="9" t="str">
        <f aca="false">IF(H139="Não encontrado","Não encontrado",IF(H139&lt;&gt;A139,"Local diferente",IF(AND(E139&lt;&gt;"",J139&lt;&gt;"",UPPER(E139)&lt;&gt;UPPER(J139)),"Letra final diferente","Confere")))</f>
        <v>Confere</v>
      </c>
      <c r="L139" s="10"/>
      <c r="M139" s="10"/>
    </row>
    <row r="140" customFormat="false" ht="15" hidden="false" customHeight="false" outlineLevel="0" collapsed="false">
      <c r="A140" s="3" t="s">
        <v>14</v>
      </c>
      <c r="B140" s="9" t="n">
        <v>9</v>
      </c>
      <c r="C140" s="3" t="s">
        <v>480</v>
      </c>
      <c r="D140" s="3" t="str">
        <f aca="false">IF(LEFT(C140,3)="09S",LEFT(C140,14),C140)</f>
        <v>09S29QAR110978</v>
      </c>
      <c r="E140" s="9" t="str">
        <f aca="false">IF(LEFT(C140,3)="09S",MID(C140,15,5),"")</f>
        <v>A</v>
      </c>
      <c r="F140" s="9" t="n">
        <v>382717</v>
      </c>
      <c r="G140" s="3" t="s">
        <v>446</v>
      </c>
      <c r="H140" s="3" t="str">
        <f aca="false">IFERROR(INDEX(Sistema!$F$2:$F$421,MATCH(D140,Sistema!$G$2:$G$421,0)),"Não encontrado")</f>
        <v>Carrinho 06 ( VERDE)</v>
      </c>
      <c r="I140" s="3" t="str">
        <f aca="false">IFERROR(INDEX(Sistema!$C$2:$C$421,MATCH(D140,Sistema!$G$2:$G$421,0)),"")</f>
        <v>Samsung Chromebook 4</v>
      </c>
      <c r="J140" s="9" t="str">
        <f aca="false">IF(LEFT(C140,3)="09S",IFERROR(MID(INDEX(Sistema!$D$2:$D$421,MATCH(D140,Sistema!$G$2:$G$421,0)),15,5),""),"")</f>
        <v>A</v>
      </c>
      <c r="K140" s="9" t="str">
        <f aca="false">IF(H140="Não encontrado","Não encontrado",IF(H140&lt;&gt;A140,"Local diferente",IF(AND(E140&lt;&gt;"",J140&lt;&gt;"",UPPER(E140)&lt;&gt;UPPER(J140)),"Letra final diferente","Confere")))</f>
        <v>Confere</v>
      </c>
      <c r="L140" s="10"/>
      <c r="M140" s="10"/>
    </row>
    <row r="141" customFormat="false" ht="15" hidden="false" customHeight="false" outlineLevel="0" collapsed="false">
      <c r="A141" s="3" t="s">
        <v>14</v>
      </c>
      <c r="B141" s="9" t="n">
        <v>10</v>
      </c>
      <c r="C141" s="3" t="s">
        <v>481</v>
      </c>
      <c r="D141" s="3" t="str">
        <f aca="false">IF(LEFT(C141,3)="09S",LEFT(C141,14),C141)</f>
        <v>09S29QAR109411</v>
      </c>
      <c r="E141" s="9" t="str">
        <f aca="false">IF(LEFT(C141,3)="09S",MID(C141,15,5),"")</f>
        <v>Y</v>
      </c>
      <c r="F141" s="9" t="n">
        <v>382736</v>
      </c>
      <c r="G141" s="3" t="s">
        <v>446</v>
      </c>
      <c r="H141" s="3" t="str">
        <f aca="false">IFERROR(INDEX(Sistema!$F$2:$F$421,MATCH(D141,Sistema!$G$2:$G$421,0)),"Não encontrado")</f>
        <v>Carrinho 06 ( VERDE)</v>
      </c>
      <c r="I141" s="3" t="str">
        <f aca="false">IFERROR(INDEX(Sistema!$C$2:$C$421,MATCH(D141,Sistema!$G$2:$G$421,0)),"")</f>
        <v>Samsung Chromebook 4</v>
      </c>
      <c r="J141" s="9" t="str">
        <f aca="false">IF(LEFT(C141,3)="09S",IFERROR(MID(INDEX(Sistema!$D$2:$D$421,MATCH(D141,Sistema!$G$2:$G$421,0)),15,5),""),"")</f>
        <v>Y</v>
      </c>
      <c r="K141" s="9" t="str">
        <f aca="false">IF(H141="Não encontrado","Não encontrado",IF(H141&lt;&gt;A141,"Local diferente",IF(AND(E141&lt;&gt;"",J141&lt;&gt;"",UPPER(E141)&lt;&gt;UPPER(J141)),"Letra final diferente","Confere")))</f>
        <v>Confere</v>
      </c>
      <c r="L141" s="10"/>
      <c r="M141" s="10"/>
    </row>
    <row r="142" customFormat="false" ht="15" hidden="false" customHeight="false" outlineLevel="0" collapsed="false">
      <c r="A142" s="3" t="s">
        <v>14</v>
      </c>
      <c r="B142" s="9" t="n">
        <v>11</v>
      </c>
      <c r="C142" s="3" t="s">
        <v>482</v>
      </c>
      <c r="D142" s="3" t="str">
        <f aca="false">IF(LEFT(C142,3)="09S",LEFT(C142,14),C142)</f>
        <v>09S29QAR109612</v>
      </c>
      <c r="E142" s="9" t="str">
        <f aca="false">IF(LEFT(C142,3)="09S",MID(C142,15,5),"")</f>
        <v>W</v>
      </c>
      <c r="F142" s="9" t="n">
        <v>382741</v>
      </c>
      <c r="G142" s="3" t="s">
        <v>446</v>
      </c>
      <c r="H142" s="3" t="str">
        <f aca="false">IFERROR(INDEX(Sistema!$F$2:$F$421,MATCH(D142,Sistema!$G$2:$G$421,0)),"Não encontrado")</f>
        <v>Carrinho 06 ( VERDE)</v>
      </c>
      <c r="I142" s="3" t="str">
        <f aca="false">IFERROR(INDEX(Sistema!$C$2:$C$421,MATCH(D142,Sistema!$G$2:$G$421,0)),"")</f>
        <v>Samsung Chromebook 4</v>
      </c>
      <c r="J142" s="9" t="str">
        <f aca="false">IF(LEFT(C142,3)="09S",IFERROR(MID(INDEX(Sistema!$D$2:$D$421,MATCH(D142,Sistema!$G$2:$G$421,0)),15,5),""),"")</f>
        <v>W</v>
      </c>
      <c r="K142" s="9" t="str">
        <f aca="false">IF(H142="Não encontrado","Não encontrado",IF(H142&lt;&gt;A142,"Local diferente",IF(AND(E142&lt;&gt;"",J142&lt;&gt;"",UPPER(E142)&lt;&gt;UPPER(J142)),"Letra final diferente","Confere")))</f>
        <v>Confere</v>
      </c>
      <c r="L142" s="10"/>
      <c r="M142" s="10"/>
    </row>
    <row r="143" customFormat="false" ht="15" hidden="false" customHeight="false" outlineLevel="0" collapsed="false">
      <c r="A143" s="3" t="s">
        <v>14</v>
      </c>
      <c r="B143" s="9" t="n">
        <v>12</v>
      </c>
      <c r="C143" s="3" t="s">
        <v>483</v>
      </c>
      <c r="D143" s="3" t="str">
        <f aca="false">IF(LEFT(C143,3)="09S",LEFT(C143,14),C143)</f>
        <v>09S29QAR110839</v>
      </c>
      <c r="E143" s="9" t="str">
        <f aca="false">IF(LEFT(C143,3)="09S",MID(C143,15,5),"")</f>
        <v>W</v>
      </c>
      <c r="F143" s="9" t="n">
        <v>382839</v>
      </c>
      <c r="G143" s="3" t="s">
        <v>446</v>
      </c>
      <c r="H143" s="3" t="str">
        <f aca="false">IFERROR(INDEX(Sistema!$F$2:$F$421,MATCH(D143,Sistema!$G$2:$G$421,0)),"Não encontrado")</f>
        <v>Carrinho 06 ( VERDE)</v>
      </c>
      <c r="I143" s="3" t="str">
        <f aca="false">IFERROR(INDEX(Sistema!$C$2:$C$421,MATCH(D143,Sistema!$G$2:$G$421,0)),"")</f>
        <v>Samsung Chromebook 4</v>
      </c>
      <c r="J143" s="9" t="str">
        <f aca="false">IF(LEFT(C143,3)="09S",IFERROR(MID(INDEX(Sistema!$D$2:$D$421,MATCH(D143,Sistema!$G$2:$G$421,0)),15,5),""),"")</f>
        <v>W</v>
      </c>
      <c r="K143" s="9" t="str">
        <f aca="false">IF(H143="Não encontrado","Não encontrado",IF(H143&lt;&gt;A143,"Local diferente",IF(AND(E143&lt;&gt;"",J143&lt;&gt;"",UPPER(E143)&lt;&gt;UPPER(J143)),"Letra final diferente","Confere")))</f>
        <v>Confere</v>
      </c>
      <c r="L143" s="10"/>
      <c r="M143" s="10"/>
    </row>
    <row r="144" customFormat="false" ht="15" hidden="false" customHeight="false" outlineLevel="0" collapsed="false">
      <c r="A144" s="3" t="s">
        <v>14</v>
      </c>
      <c r="B144" s="9" t="n">
        <v>13</v>
      </c>
      <c r="C144" s="3" t="s">
        <v>484</v>
      </c>
      <c r="D144" s="3" t="str">
        <f aca="false">IF(LEFT(C144,3)="09S",LEFT(C144,14),C144)</f>
        <v>09S29QBR722965</v>
      </c>
      <c r="E144" s="9" t="str">
        <f aca="false">IF(LEFT(C144,3)="09S",MID(C144,15,5),"")</f>
        <v>B</v>
      </c>
      <c r="F144" s="9" t="n">
        <v>505098</v>
      </c>
      <c r="G144" s="3" t="s">
        <v>446</v>
      </c>
      <c r="H144" s="3" t="str">
        <f aca="false">IFERROR(INDEX(Sistema!$F$2:$F$421,MATCH(D144,Sistema!$G$2:$G$421,0)),"Não encontrado")</f>
        <v>Carrinho 06 ( VERDE)</v>
      </c>
      <c r="I144" s="3" t="str">
        <f aca="false">IFERROR(INDEX(Sistema!$C$2:$C$421,MATCH(D144,Sistema!$G$2:$G$421,0)),"")</f>
        <v>Samsung Chromebook 4 - 2021/Lote 1</v>
      </c>
      <c r="J144" s="9" t="str">
        <f aca="false">IF(LEFT(C144,3)="09S",IFERROR(MID(INDEX(Sistema!$D$2:$D$421,MATCH(D144,Sistema!$G$2:$G$421,0)),15,5),""),"")</f>
        <v/>
      </c>
      <c r="K144" s="9" t="str">
        <f aca="false">IF(H144="Não encontrado","Não encontrado",IF(H144&lt;&gt;A144,"Local diferente",IF(AND(E144&lt;&gt;"",J144&lt;&gt;"",UPPER(E144)&lt;&gt;UPPER(J144)),"Letra final diferente","Confere")))</f>
        <v>Confere</v>
      </c>
      <c r="L144" s="10"/>
      <c r="M144" s="10"/>
    </row>
    <row r="145" customFormat="false" ht="15" hidden="false" customHeight="false" outlineLevel="0" collapsed="false">
      <c r="A145" s="3" t="s">
        <v>14</v>
      </c>
      <c r="B145" s="9" t="n">
        <v>14</v>
      </c>
      <c r="C145" s="3" t="s">
        <v>485</v>
      </c>
      <c r="D145" s="3" t="str">
        <f aca="false">IF(LEFT(C145,3)="09S",LEFT(C145,14),C145)</f>
        <v>09S29QANC07400</v>
      </c>
      <c r="E145" s="9" t="str">
        <f aca="false">IF(LEFT(C145,3)="09S",MID(C145,15,5),"")</f>
        <v>A</v>
      </c>
      <c r="F145" s="9" t="n">
        <v>382892</v>
      </c>
      <c r="G145" s="3" t="s">
        <v>446</v>
      </c>
      <c r="H145" s="3" t="str">
        <f aca="false">IFERROR(INDEX(Sistema!$F$2:$F$421,MATCH(D145,Sistema!$G$2:$G$421,0)),"Não encontrado")</f>
        <v>Carrinho 06 ( VERDE)</v>
      </c>
      <c r="I145" s="3" t="str">
        <f aca="false">IFERROR(INDEX(Sistema!$C$2:$C$421,MATCH(D145,Sistema!$G$2:$G$421,0)),"")</f>
        <v>Samsung Chromebook 4</v>
      </c>
      <c r="J145" s="9" t="str">
        <f aca="false">IF(LEFT(C145,3)="09S",IFERROR(MID(INDEX(Sistema!$D$2:$D$421,MATCH(D145,Sistema!$G$2:$G$421,0)),15,5),""),"")</f>
        <v>A</v>
      </c>
      <c r="K145" s="9" t="str">
        <f aca="false">IF(H145="Não encontrado","Não encontrado",IF(H145&lt;&gt;A145,"Local diferente",IF(AND(E145&lt;&gt;"",J145&lt;&gt;"",UPPER(E145)&lt;&gt;UPPER(J145)),"Letra final diferente","Confere")))</f>
        <v>Confere</v>
      </c>
      <c r="L145" s="10"/>
      <c r="M145" s="10"/>
    </row>
    <row r="146" customFormat="false" ht="15" hidden="false" customHeight="false" outlineLevel="0" collapsed="false">
      <c r="A146" s="3" t="s">
        <v>14</v>
      </c>
      <c r="B146" s="9" t="n">
        <v>15</v>
      </c>
      <c r="C146" s="3" t="s">
        <v>486</v>
      </c>
      <c r="D146" s="3" t="str">
        <f aca="false">IF(LEFT(C146,3)="09S",LEFT(C146,14),C146)</f>
        <v>09S29QAR110984</v>
      </c>
      <c r="E146" s="9" t="str">
        <f aca="false">IF(LEFT(C146,3)="09S",MID(C146,15,5),"")</f>
        <v>L</v>
      </c>
      <c r="F146" s="9" t="n">
        <v>382798</v>
      </c>
      <c r="G146" s="3" t="s">
        <v>446</v>
      </c>
      <c r="H146" s="3" t="str">
        <f aca="false">IFERROR(INDEX(Sistema!$F$2:$F$421,MATCH(D146,Sistema!$G$2:$G$421,0)),"Não encontrado")</f>
        <v>Carrinho 06 ( VERDE)</v>
      </c>
      <c r="I146" s="3" t="str">
        <f aca="false">IFERROR(INDEX(Sistema!$C$2:$C$421,MATCH(D146,Sistema!$G$2:$G$421,0)),"")</f>
        <v>Samsung Chromebook 4</v>
      </c>
      <c r="J146" s="9" t="str">
        <f aca="false">IF(LEFT(C146,3)="09S",IFERROR(MID(INDEX(Sistema!$D$2:$D$421,MATCH(D146,Sistema!$G$2:$G$421,0)),15,5),""),"")</f>
        <v>L</v>
      </c>
      <c r="K146" s="9" t="str">
        <f aca="false">IF(H146="Não encontrado","Não encontrado",IF(H146&lt;&gt;A146,"Local diferente",IF(AND(E146&lt;&gt;"",J146&lt;&gt;"",UPPER(E146)&lt;&gt;UPPER(J146)),"Letra final diferente","Confere")))</f>
        <v>Confere</v>
      </c>
      <c r="L146" s="10"/>
      <c r="M146" s="10"/>
    </row>
    <row r="147" customFormat="false" ht="15" hidden="false" customHeight="false" outlineLevel="0" collapsed="false">
      <c r="A147" s="3" t="s">
        <v>14</v>
      </c>
      <c r="B147" s="9" t="n">
        <v>16</v>
      </c>
      <c r="C147" s="3" t="s">
        <v>487</v>
      </c>
      <c r="D147" s="3" t="str">
        <f aca="false">IF(LEFT(C147,3)="09S",LEFT(C147,14),C147)</f>
        <v>09S29QANC07284</v>
      </c>
      <c r="E147" s="9" t="str">
        <f aca="false">IF(LEFT(C147,3)="09S",MID(C147,15,5),"")</f>
        <v>H</v>
      </c>
      <c r="F147" s="9" t="n">
        <v>382915</v>
      </c>
      <c r="G147" s="3" t="s">
        <v>446</v>
      </c>
      <c r="H147" s="3" t="str">
        <f aca="false">IFERROR(INDEX(Sistema!$F$2:$F$421,MATCH(D147,Sistema!$G$2:$G$421,0)),"Não encontrado")</f>
        <v>Carrinho 06 ( VERDE)</v>
      </c>
      <c r="I147" s="3" t="str">
        <f aca="false">IFERROR(INDEX(Sistema!$C$2:$C$421,MATCH(D147,Sistema!$G$2:$G$421,0)),"")</f>
        <v>Samsung Chromebook 4</v>
      </c>
      <c r="J147" s="9" t="str">
        <f aca="false">IF(LEFT(C147,3)="09S",IFERROR(MID(INDEX(Sistema!$D$2:$D$421,MATCH(D147,Sistema!$G$2:$G$421,0)),15,5),""),"")</f>
        <v>H</v>
      </c>
      <c r="K147" s="9" t="str">
        <f aca="false">IF(H147="Não encontrado","Não encontrado",IF(H147&lt;&gt;A147,"Local diferente",IF(AND(E147&lt;&gt;"",J147&lt;&gt;"",UPPER(E147)&lt;&gt;UPPER(J147)),"Letra final diferente","Confere")))</f>
        <v>Confere</v>
      </c>
      <c r="L147" s="10"/>
      <c r="M147" s="10"/>
    </row>
    <row r="148" customFormat="false" ht="15" hidden="false" customHeight="false" outlineLevel="0" collapsed="false">
      <c r="A148" s="3" t="s">
        <v>14</v>
      </c>
      <c r="B148" s="9" t="n">
        <v>17</v>
      </c>
      <c r="C148" s="3" t="s">
        <v>488</v>
      </c>
      <c r="D148" s="3" t="str">
        <f aca="false">IF(LEFT(C148,3)="09S",LEFT(C148,14),C148)</f>
        <v>09S29QAR109505</v>
      </c>
      <c r="E148" s="9" t="str">
        <f aca="false">IF(LEFT(C148,3)="09S",MID(C148,15,5),"")</f>
        <v>K</v>
      </c>
      <c r="F148" s="9" t="n">
        <v>382731</v>
      </c>
      <c r="G148" s="3" t="s">
        <v>446</v>
      </c>
      <c r="H148" s="3" t="str">
        <f aca="false">IFERROR(INDEX(Sistema!$F$2:$F$421,MATCH(D148,Sistema!$G$2:$G$421,0)),"Não encontrado")</f>
        <v>Carrinho 06 ( VERDE)</v>
      </c>
      <c r="I148" s="3" t="str">
        <f aca="false">IFERROR(INDEX(Sistema!$C$2:$C$421,MATCH(D148,Sistema!$G$2:$G$421,0)),"")</f>
        <v>Samsung Chromebook 4</v>
      </c>
      <c r="J148" s="9" t="str">
        <f aca="false">IF(LEFT(C148,3)="09S",IFERROR(MID(INDEX(Sistema!$D$2:$D$421,MATCH(D148,Sistema!$G$2:$G$421,0)),15,5),""),"")</f>
        <v>K</v>
      </c>
      <c r="K148" s="9" t="str">
        <f aca="false">IF(H148="Não encontrado","Não encontrado",IF(H148&lt;&gt;A148,"Local diferente",IF(AND(E148&lt;&gt;"",J148&lt;&gt;"",UPPER(E148)&lt;&gt;UPPER(J148)),"Letra final diferente","Confere")))</f>
        <v>Confere</v>
      </c>
      <c r="L148" s="10"/>
      <c r="M148" s="10"/>
    </row>
    <row r="149" customFormat="false" ht="15" hidden="false" customHeight="false" outlineLevel="0" collapsed="false">
      <c r="A149" s="3" t="s">
        <v>14</v>
      </c>
      <c r="B149" s="9" t="n">
        <v>18</v>
      </c>
      <c r="C149" s="3" t="s">
        <v>489</v>
      </c>
      <c r="D149" s="3" t="str">
        <f aca="false">IF(LEFT(C149,3)="09S",LEFT(C149,14),C149)</f>
        <v>09S29QAR109608</v>
      </c>
      <c r="E149" s="9" t="str">
        <f aca="false">IF(LEFT(C149,3)="09S",MID(C149,15,5),"")</f>
        <v>K</v>
      </c>
      <c r="F149" s="9" t="n">
        <v>382746</v>
      </c>
      <c r="G149" s="3" t="s">
        <v>446</v>
      </c>
      <c r="H149" s="3" t="str">
        <f aca="false">IFERROR(INDEX(Sistema!$F$2:$F$421,MATCH(D149,Sistema!$G$2:$G$421,0)),"Não encontrado")</f>
        <v>Carrinho 06 ( VERDE)</v>
      </c>
      <c r="I149" s="3" t="str">
        <f aca="false">IFERROR(INDEX(Sistema!$C$2:$C$421,MATCH(D149,Sistema!$G$2:$G$421,0)),"")</f>
        <v>Samsung Chromebook 4</v>
      </c>
      <c r="J149" s="9" t="str">
        <f aca="false">IF(LEFT(C149,3)="09S",IFERROR(MID(INDEX(Sistema!$D$2:$D$421,MATCH(D149,Sistema!$G$2:$G$421,0)),15,5),""),"")</f>
        <v>K</v>
      </c>
      <c r="K149" s="9" t="str">
        <f aca="false">IF(H149="Não encontrado","Não encontrado",IF(H149&lt;&gt;A149,"Local diferente",IF(AND(E149&lt;&gt;"",J149&lt;&gt;"",UPPER(E149)&lt;&gt;UPPER(J149)),"Letra final diferente","Confere")))</f>
        <v>Confere</v>
      </c>
      <c r="L149" s="10"/>
      <c r="M149" s="10"/>
    </row>
    <row r="150" customFormat="false" ht="15" hidden="false" customHeight="false" outlineLevel="0" collapsed="false">
      <c r="A150" s="3" t="s">
        <v>14</v>
      </c>
      <c r="B150" s="9" t="n">
        <v>19</v>
      </c>
      <c r="C150" s="3" t="s">
        <v>490</v>
      </c>
      <c r="D150" s="3" t="str">
        <f aca="false">IF(LEFT(C150,3)="09S",LEFT(C150,14),C150)</f>
        <v>09S29QAR110618</v>
      </c>
      <c r="E150" s="9" t="str">
        <f aca="false">IF(LEFT(C150,3)="09S",MID(C150,15,5),"")</f>
        <v>B</v>
      </c>
      <c r="F150" s="9" t="n">
        <v>382665</v>
      </c>
      <c r="G150" s="3" t="s">
        <v>446</v>
      </c>
      <c r="H150" s="3" t="str">
        <f aca="false">IFERROR(INDEX(Sistema!$F$2:$F$421,MATCH(D150,Sistema!$G$2:$G$421,0)),"Não encontrado")</f>
        <v>Carrinho 06 ( VERDE)</v>
      </c>
      <c r="I150" s="3" t="str">
        <f aca="false">IFERROR(INDEX(Sistema!$C$2:$C$421,MATCH(D150,Sistema!$G$2:$G$421,0)),"")</f>
        <v>Samsung Chromebook 4</v>
      </c>
      <c r="J150" s="9" t="str">
        <f aca="false">IF(LEFT(C150,3)="09S",IFERROR(MID(INDEX(Sistema!$D$2:$D$421,MATCH(D150,Sistema!$G$2:$G$421,0)),15,5),""),"")</f>
        <v>B</v>
      </c>
      <c r="K150" s="9" t="str">
        <f aca="false">IF(H150="Não encontrado","Não encontrado",IF(H150&lt;&gt;A150,"Local diferente",IF(AND(E150&lt;&gt;"",J150&lt;&gt;"",UPPER(E150)&lt;&gt;UPPER(J150)),"Letra final diferente","Confere")))</f>
        <v>Confere</v>
      </c>
      <c r="L150" s="10"/>
      <c r="M150" s="10"/>
    </row>
    <row r="151" customFormat="false" ht="15" hidden="false" customHeight="false" outlineLevel="0" collapsed="false">
      <c r="A151" s="3" t="s">
        <v>14</v>
      </c>
      <c r="B151" s="9" t="n">
        <v>20</v>
      </c>
      <c r="C151" s="3" t="s">
        <v>491</v>
      </c>
      <c r="D151" s="3" t="str">
        <f aca="false">IF(LEFT(C151,3)="09S",LEFT(C151,14),C151)</f>
        <v>09S29QAR110825</v>
      </c>
      <c r="E151" s="9" t="str">
        <f aca="false">IF(LEFT(C151,3)="09S",MID(C151,15,5),"")</f>
        <v>D</v>
      </c>
      <c r="F151" s="9" t="n">
        <v>382779</v>
      </c>
      <c r="G151" s="3" t="s">
        <v>446</v>
      </c>
      <c r="H151" s="3" t="str">
        <f aca="false">IFERROR(INDEX(Sistema!$F$2:$F$421,MATCH(D151,Sistema!$G$2:$G$421,0)),"Não encontrado")</f>
        <v>Carrinho 06 ( VERDE)</v>
      </c>
      <c r="I151" s="3" t="str">
        <f aca="false">IFERROR(INDEX(Sistema!$C$2:$C$421,MATCH(D151,Sistema!$G$2:$G$421,0)),"")</f>
        <v>Samsung Chromebook 4</v>
      </c>
      <c r="J151" s="9" t="str">
        <f aca="false">IF(LEFT(C151,3)="09S",IFERROR(MID(INDEX(Sistema!$D$2:$D$421,MATCH(D151,Sistema!$G$2:$G$421,0)),15,5),""),"")</f>
        <v>D</v>
      </c>
      <c r="K151" s="9" t="str">
        <f aca="false">IF(H151="Não encontrado","Não encontrado",IF(H151&lt;&gt;A151,"Local diferente",IF(AND(E151&lt;&gt;"",J151&lt;&gt;"",UPPER(E151)&lt;&gt;UPPER(J151)),"Letra final diferente","Confere")))</f>
        <v>Confere</v>
      </c>
      <c r="L151" s="10"/>
      <c r="M151" s="10"/>
    </row>
    <row r="152" customFormat="false" ht="15" hidden="false" customHeight="false" outlineLevel="0" collapsed="false">
      <c r="A152" s="3" t="s">
        <v>14</v>
      </c>
      <c r="B152" s="9" t="n">
        <v>21</v>
      </c>
      <c r="C152" s="3" t="s">
        <v>492</v>
      </c>
      <c r="D152" s="3" t="str">
        <f aca="false">IF(LEFT(C152,3)="09S",LEFT(C152,14),C152)</f>
        <v>09S29QBR701838</v>
      </c>
      <c r="E152" s="9" t="str">
        <f aca="false">IF(LEFT(C152,3)="09S",MID(C152,15,5),"")</f>
        <v>R</v>
      </c>
      <c r="F152" s="9" t="n">
        <v>505025</v>
      </c>
      <c r="G152" s="3" t="s">
        <v>446</v>
      </c>
      <c r="H152" s="3" t="str">
        <f aca="false">IFERROR(INDEX(Sistema!$F$2:$F$421,MATCH(D152,Sistema!$G$2:$G$421,0)),"Não encontrado")</f>
        <v>Carrinho 06 ( VERDE)</v>
      </c>
      <c r="I152" s="3" t="str">
        <f aca="false">IFERROR(INDEX(Sistema!$C$2:$C$421,MATCH(D152,Sistema!$G$2:$G$421,0)),"")</f>
        <v>Samsung Chromebook 4 - 2021/Lote 1</v>
      </c>
      <c r="J152" s="9" t="str">
        <f aca="false">IF(LEFT(C152,3)="09S",IFERROR(MID(INDEX(Sistema!$D$2:$D$421,MATCH(D152,Sistema!$G$2:$G$421,0)),15,5),""),"")</f>
        <v/>
      </c>
      <c r="K152" s="9" t="str">
        <f aca="false">IF(H152="Não encontrado","Não encontrado",IF(H152&lt;&gt;A152,"Local diferente",IF(AND(E152&lt;&gt;"",J152&lt;&gt;"",UPPER(E152)&lt;&gt;UPPER(J152)),"Letra final diferente","Confere")))</f>
        <v>Confere</v>
      </c>
      <c r="L152" s="10"/>
      <c r="M152" s="10"/>
    </row>
    <row r="153" customFormat="false" ht="26.85" hidden="false" customHeight="false" outlineLevel="0" collapsed="false">
      <c r="A153" s="3" t="s">
        <v>14</v>
      </c>
      <c r="B153" s="9" t="n">
        <v>22</v>
      </c>
      <c r="C153" s="3" t="s">
        <v>493</v>
      </c>
      <c r="D153" s="3" t="str">
        <f aca="false">IF(LEFT(C153,3)="09S",LEFT(C153,14),C153)</f>
        <v>09S29QAR110876</v>
      </c>
      <c r="E153" s="9" t="str">
        <f aca="false">IF(LEFT(C153,3)="09S",MID(C153,15,5),"")</f>
        <v>J</v>
      </c>
      <c r="F153" s="9" t="n">
        <v>382780</v>
      </c>
      <c r="G153" s="3" t="s">
        <v>446</v>
      </c>
      <c r="H153" s="3" t="str">
        <f aca="false">IFERROR(INDEX(Sistema!$F$2:$F$421,MATCH(D153,Sistema!$G$2:$G$421,0)),"Não encontrado")</f>
        <v>Carrinho 06 ( VERDE)</v>
      </c>
      <c r="I153" s="3" t="str">
        <f aca="false">IFERROR(INDEX(Sistema!$C$2:$C$421,MATCH(D153,Sistema!$G$2:$G$421,0)),"")</f>
        <v>Samsung Chromebook 4</v>
      </c>
      <c r="J153" s="9" t="str">
        <f aca="false">IF(LEFT(C153,3)="09S",IFERROR(MID(INDEX(Sistema!$D$2:$D$421,MATCH(D153,Sistema!$G$2:$G$421,0)),15,5),""),"")</f>
        <v>J</v>
      </c>
      <c r="K153" s="9" t="str">
        <f aca="false">IF(H153="Não encontrado","Não encontrado",IF(H153&lt;&gt;A153,"Local diferente",IF(AND(E153&lt;&gt;"",J153&lt;&gt;"",UPPER(E153)&lt;&gt;UPPER(J153)),"Letra final diferente","Confere")))</f>
        <v>Confere</v>
      </c>
      <c r="L153" s="10" t="s">
        <v>494</v>
      </c>
      <c r="M153" s="10" t="s">
        <v>495</v>
      </c>
    </row>
    <row r="154" customFormat="false" ht="15" hidden="false" customHeight="false" outlineLevel="0" collapsed="false">
      <c r="A154" s="3" t="s">
        <v>14</v>
      </c>
      <c r="B154" s="9" t="n">
        <v>23</v>
      </c>
      <c r="C154" s="3" t="s">
        <v>496</v>
      </c>
      <c r="D154" s="3" t="str">
        <f aca="false">IF(LEFT(C154,3)="09S",LEFT(C154,14),C154)</f>
        <v>09S29QAR110781</v>
      </c>
      <c r="E154" s="9" t="str">
        <f aca="false">IF(LEFT(C154,3)="09S",MID(C154,15,5),"")</f>
        <v>D</v>
      </c>
      <c r="F154" s="9" t="n">
        <v>382667</v>
      </c>
      <c r="G154" s="3" t="s">
        <v>446</v>
      </c>
      <c r="H154" s="3" t="str">
        <f aca="false">IFERROR(INDEX(Sistema!$F$2:$F$421,MATCH(D154,Sistema!$G$2:$G$421,0)),"Não encontrado")</f>
        <v>Carrinho 06 ( VERDE)</v>
      </c>
      <c r="I154" s="3" t="str">
        <f aca="false">IFERROR(INDEX(Sistema!$C$2:$C$421,MATCH(D154,Sistema!$G$2:$G$421,0)),"")</f>
        <v>Samsung Chromebook 4</v>
      </c>
      <c r="J154" s="9" t="str">
        <f aca="false">IF(LEFT(C154,3)="09S",IFERROR(MID(INDEX(Sistema!$D$2:$D$421,MATCH(D154,Sistema!$G$2:$G$421,0)),15,5),""),"")</f>
        <v>D</v>
      </c>
      <c r="K154" s="9" t="str">
        <f aca="false">IF(H154="Não encontrado","Não encontrado",IF(H154&lt;&gt;A154,"Local diferente",IF(AND(E154&lt;&gt;"",J154&lt;&gt;"",UPPER(E154)&lt;&gt;UPPER(J154)),"Letra final diferente","Confere")))</f>
        <v>Confere</v>
      </c>
      <c r="L154" s="10"/>
      <c r="M154" s="10"/>
    </row>
    <row r="155" customFormat="false" ht="15" hidden="false" customHeight="false" outlineLevel="0" collapsed="false">
      <c r="A155" s="3" t="s">
        <v>14</v>
      </c>
      <c r="B155" s="9" t="n">
        <v>24</v>
      </c>
      <c r="C155" s="3" t="s">
        <v>497</v>
      </c>
      <c r="D155" s="3" t="str">
        <f aca="false">IF(LEFT(C155,3)="09S",LEFT(C155,14),C155)</f>
        <v>09S29QAR804831</v>
      </c>
      <c r="E155" s="9" t="str">
        <f aca="false">IF(LEFT(C155,3)="09S",MID(C155,15,5),"")</f>
        <v>D</v>
      </c>
      <c r="F155" s="9" t="n">
        <v>505226</v>
      </c>
      <c r="G155" s="3" t="s">
        <v>446</v>
      </c>
      <c r="H155" s="3" t="str">
        <f aca="false">IFERROR(INDEX(Sistema!$F$2:$F$421,MATCH(D155,Sistema!$G$2:$G$421,0)),"Não encontrado")</f>
        <v>Carrinho 06 ( VERDE)</v>
      </c>
      <c r="I155" s="3" t="str">
        <f aca="false">IFERROR(INDEX(Sistema!$C$2:$C$421,MATCH(D155,Sistema!$G$2:$G$421,0)),"")</f>
        <v>Samsung Chromebook 4 - 2021/Lote 1</v>
      </c>
      <c r="J155" s="9" t="str">
        <f aca="false">IF(LEFT(C155,3)="09S",IFERROR(MID(INDEX(Sistema!$D$2:$D$421,MATCH(D155,Sistema!$G$2:$G$421,0)),15,5),""),"")</f>
        <v/>
      </c>
      <c r="K155" s="9" t="str">
        <f aca="false">IF(H155="Não encontrado","Não encontrado",IF(H155&lt;&gt;A155,"Local diferente",IF(AND(E155&lt;&gt;"",J155&lt;&gt;"",UPPER(E155)&lt;&gt;UPPER(J155)),"Letra final diferente","Confere")))</f>
        <v>Confere</v>
      </c>
      <c r="L155" s="10"/>
      <c r="M155" s="10"/>
    </row>
    <row r="156" customFormat="false" ht="15" hidden="false" customHeight="false" outlineLevel="0" collapsed="false">
      <c r="A156" s="3" t="s">
        <v>14</v>
      </c>
      <c r="B156" s="9" t="n">
        <v>25</v>
      </c>
      <c r="C156" s="3" t="s">
        <v>498</v>
      </c>
      <c r="D156" s="3" t="str">
        <f aca="false">IF(LEFT(C156,3)="09S",LEFT(C156,14),C156)</f>
        <v>09S29QBR702355</v>
      </c>
      <c r="E156" s="9" t="str">
        <f aca="false">IF(LEFT(C156,3)="09S",MID(C156,15,5),"")</f>
        <v>F</v>
      </c>
      <c r="F156" s="9" t="n">
        <v>505181</v>
      </c>
      <c r="G156" s="3" t="s">
        <v>446</v>
      </c>
      <c r="H156" s="3" t="str">
        <f aca="false">IFERROR(INDEX(Sistema!$F$2:$F$421,MATCH(D156,Sistema!$G$2:$G$421,0)),"Não encontrado")</f>
        <v>Carrinho 06 ( VERDE)</v>
      </c>
      <c r="I156" s="3" t="str">
        <f aca="false">IFERROR(INDEX(Sistema!$C$2:$C$421,MATCH(D156,Sistema!$G$2:$G$421,0)),"")</f>
        <v>Samsung Chromebook 4 - 2021/Lote 1</v>
      </c>
      <c r="J156" s="9" t="str">
        <f aca="false">IF(LEFT(C156,3)="09S",IFERROR(MID(INDEX(Sistema!$D$2:$D$421,MATCH(D156,Sistema!$G$2:$G$421,0)),15,5),""),"")</f>
        <v/>
      </c>
      <c r="K156" s="9" t="str">
        <f aca="false">IF(H156="Não encontrado","Não encontrado",IF(H156&lt;&gt;A156,"Local diferente",IF(AND(E156&lt;&gt;"",J156&lt;&gt;"",UPPER(E156)&lt;&gt;UPPER(J156)),"Letra final diferente","Confere")))</f>
        <v>Confere</v>
      </c>
      <c r="L156" s="10"/>
      <c r="M156" s="10"/>
    </row>
    <row r="157" customFormat="false" ht="15" hidden="false" customHeight="false" outlineLevel="0" collapsed="false">
      <c r="A157" s="3" t="s">
        <v>14</v>
      </c>
      <c r="B157" s="9" t="n">
        <v>26</v>
      </c>
      <c r="C157" s="3" t="s">
        <v>499</v>
      </c>
      <c r="D157" s="3" t="str">
        <f aca="false">IF(LEFT(C157,3)="09S",LEFT(C157,14),C157)</f>
        <v>09S29QBR712411</v>
      </c>
      <c r="E157" s="9" t="str">
        <f aca="false">IF(LEFT(C157,3)="09S",MID(C157,15,5),"")</f>
        <v>Y</v>
      </c>
      <c r="F157" s="9" t="n">
        <v>503829</v>
      </c>
      <c r="G157" s="3" t="s">
        <v>446</v>
      </c>
      <c r="H157" s="3" t="str">
        <f aca="false">IFERROR(INDEX(Sistema!$F$2:$F$421,MATCH(D157,Sistema!$G$2:$G$421,0)),"Não encontrado")</f>
        <v>Carrinho 06 ( VERDE)</v>
      </c>
      <c r="I157" s="3" t="str">
        <f aca="false">IFERROR(INDEX(Sistema!$C$2:$C$421,MATCH(D157,Sistema!$G$2:$G$421,0)),"")</f>
        <v>Samsung Chromebook 4 - 2021/Lote 1</v>
      </c>
      <c r="J157" s="9" t="str">
        <f aca="false">IF(LEFT(C157,3)="09S",IFERROR(MID(INDEX(Sistema!$D$2:$D$421,MATCH(D157,Sistema!$G$2:$G$421,0)),15,5),""),"")</f>
        <v/>
      </c>
      <c r="K157" s="9" t="str">
        <f aca="false">IF(H157="Não encontrado","Não encontrado",IF(H157&lt;&gt;A157,"Local diferente",IF(AND(E157&lt;&gt;"",J157&lt;&gt;"",UPPER(E157)&lt;&gt;UPPER(J157)),"Letra final diferente","Confere")))</f>
        <v>Confere</v>
      </c>
      <c r="L157" s="10"/>
      <c r="M157" s="10"/>
    </row>
    <row r="158" customFormat="false" ht="15" hidden="false" customHeight="false" outlineLevel="0" collapsed="false">
      <c r="A158" s="3" t="s">
        <v>14</v>
      </c>
      <c r="B158" s="9" t="n">
        <v>27</v>
      </c>
      <c r="C158" s="3" t="s">
        <v>500</v>
      </c>
      <c r="D158" s="3" t="str">
        <f aca="false">IF(LEFT(C158,3)="09S",LEFT(C158,14),C158)</f>
        <v>09S29QBR723296</v>
      </c>
      <c r="E158" s="9" t="str">
        <f aca="false">IF(LEFT(C158,3)="09S",MID(C158,15,5),"")</f>
        <v>Y</v>
      </c>
      <c r="F158" s="9" t="n">
        <v>505201</v>
      </c>
      <c r="G158" s="3" t="s">
        <v>446</v>
      </c>
      <c r="H158" s="3" t="str">
        <f aca="false">IFERROR(INDEX(Sistema!$F$2:$F$421,MATCH(D158,Sistema!$G$2:$G$421,0)),"Não encontrado")</f>
        <v>Carrinho 06 ( VERDE)</v>
      </c>
      <c r="I158" s="3" t="str">
        <f aca="false">IFERROR(INDEX(Sistema!$C$2:$C$421,MATCH(D158,Sistema!$G$2:$G$421,0)),"")</f>
        <v>Samsung Chromebook 4 - 2021/Lote 1</v>
      </c>
      <c r="J158" s="9" t="str">
        <f aca="false">IF(LEFT(C158,3)="09S",IFERROR(MID(INDEX(Sistema!$D$2:$D$421,MATCH(D158,Sistema!$G$2:$G$421,0)),15,5),""),"")</f>
        <v/>
      </c>
      <c r="K158" s="9" t="str">
        <f aca="false">IF(H158="Não encontrado","Não encontrado",IF(H158&lt;&gt;A158,"Local diferente",IF(AND(E158&lt;&gt;"",J158&lt;&gt;"",UPPER(E158)&lt;&gt;UPPER(J158)),"Letra final diferente","Confere")))</f>
        <v>Confere</v>
      </c>
      <c r="L158" s="10"/>
      <c r="M158" s="10"/>
    </row>
    <row r="159" customFormat="false" ht="15" hidden="false" customHeight="false" outlineLevel="0" collapsed="false">
      <c r="A159" s="3" t="s">
        <v>14</v>
      </c>
      <c r="B159" s="9" t="n">
        <v>28</v>
      </c>
      <c r="C159" s="3" t="s">
        <v>501</v>
      </c>
      <c r="D159" s="3" t="str">
        <f aca="false">IF(LEFT(C159,3)="09S",LEFT(C159,14),C159)</f>
        <v>09S29QBR906192</v>
      </c>
      <c r="E159" s="9" t="str">
        <f aca="false">IF(LEFT(C159,3)="09S",MID(C159,15,5),"")</f>
        <v>V</v>
      </c>
      <c r="F159" s="9" t="n">
        <v>508239</v>
      </c>
      <c r="G159" s="3" t="s">
        <v>446</v>
      </c>
      <c r="H159" s="3" t="str">
        <f aca="false">IFERROR(INDEX(Sistema!$F$2:$F$421,MATCH(D159,Sistema!$G$2:$G$421,0)),"Não encontrado")</f>
        <v>Carrinho 06 ( VERDE)</v>
      </c>
      <c r="I159" s="3" t="str">
        <f aca="false">IFERROR(INDEX(Sistema!$C$2:$C$421,MATCH(D159,Sistema!$G$2:$G$421,0)),"")</f>
        <v>Samsung Chromebook 4 - 2021/Lote 2</v>
      </c>
      <c r="J159" s="9" t="str">
        <f aca="false">IF(LEFT(C159,3)="09S",IFERROR(MID(INDEX(Sistema!$D$2:$D$421,MATCH(D159,Sistema!$G$2:$G$421,0)),15,5),""),"")</f>
        <v/>
      </c>
      <c r="K159" s="9" t="str">
        <f aca="false">IF(H159="Não encontrado","Não encontrado",IF(H159&lt;&gt;A159,"Local diferente",IF(AND(E159&lt;&gt;"",J159&lt;&gt;"",UPPER(E159)&lt;&gt;UPPER(J159)),"Letra final diferente","Confere")))</f>
        <v>Confere</v>
      </c>
      <c r="L159" s="10"/>
      <c r="M159" s="10"/>
    </row>
    <row r="160" customFormat="false" ht="15" hidden="false" customHeight="false" outlineLevel="0" collapsed="false">
      <c r="A160" s="3" t="s">
        <v>14</v>
      </c>
      <c r="B160" s="9" t="n">
        <v>29</v>
      </c>
      <c r="C160" s="3" t="s">
        <v>502</v>
      </c>
      <c r="D160" s="3" t="str">
        <f aca="false">IF(LEFT(C160,3)="09S",LEFT(C160,14),C160)</f>
        <v>09S29QAR700364</v>
      </c>
      <c r="E160" s="9" t="str">
        <f aca="false">IF(LEFT(C160,3)="09S",MID(C160,15,5),"")</f>
        <v>Z</v>
      </c>
      <c r="F160" s="9" t="n">
        <v>505038</v>
      </c>
      <c r="G160" s="3" t="s">
        <v>446</v>
      </c>
      <c r="H160" s="3" t="str">
        <f aca="false">IFERROR(INDEX(Sistema!$F$2:$F$421,MATCH(D160,Sistema!$G$2:$G$421,0)),"Não encontrado")</f>
        <v>Carrinho 06 ( VERDE)</v>
      </c>
      <c r="I160" s="3" t="str">
        <f aca="false">IFERROR(INDEX(Sistema!$C$2:$C$421,MATCH(D160,Sistema!$G$2:$G$421,0)),"")</f>
        <v>Samsung Chromebook 4 - 2021/Lote 1</v>
      </c>
      <c r="J160" s="9" t="str">
        <f aca="false">IF(LEFT(C160,3)="09S",IFERROR(MID(INDEX(Sistema!$D$2:$D$421,MATCH(D160,Sistema!$G$2:$G$421,0)),15,5),""),"")</f>
        <v/>
      </c>
      <c r="K160" s="9" t="str">
        <f aca="false">IF(H160="Não encontrado","Não encontrado",IF(H160&lt;&gt;A160,"Local diferente",IF(AND(E160&lt;&gt;"",J160&lt;&gt;"",UPPER(E160)&lt;&gt;UPPER(J160)),"Letra final diferente","Confere")))</f>
        <v>Confere</v>
      </c>
      <c r="L160" s="10"/>
      <c r="M160" s="10"/>
    </row>
    <row r="161" customFormat="false" ht="15" hidden="false" customHeight="false" outlineLevel="0" collapsed="false">
      <c r="A161" s="3" t="s">
        <v>14</v>
      </c>
      <c r="B161" s="9" t="n">
        <v>30</v>
      </c>
      <c r="C161" s="3" t="s">
        <v>503</v>
      </c>
      <c r="D161" s="3" t="str">
        <f aca="false">IF(LEFT(C161,3)="09S",LEFT(C161,14),C161)</f>
        <v>09S29QBR707017</v>
      </c>
      <c r="E161" s="9" t="str">
        <f aca="false">IF(LEFT(C161,3)="09S",MID(C161,15,5),"")</f>
        <v>K</v>
      </c>
      <c r="F161" s="9" t="n">
        <v>505227</v>
      </c>
      <c r="G161" s="3" t="s">
        <v>446</v>
      </c>
      <c r="H161" s="3" t="str">
        <f aca="false">IFERROR(INDEX(Sistema!$F$2:$F$421,MATCH(D161,Sistema!$G$2:$G$421,0)),"Não encontrado")</f>
        <v>Carrinho 06 ( VERDE)</v>
      </c>
      <c r="I161" s="3" t="str">
        <f aca="false">IFERROR(INDEX(Sistema!$C$2:$C$421,MATCH(D161,Sistema!$G$2:$G$421,0)),"")</f>
        <v>Samsung Chromebook 4 - 2021/Lote 1</v>
      </c>
      <c r="J161" s="9" t="str">
        <f aca="false">IF(LEFT(C161,3)="09S",IFERROR(MID(INDEX(Sistema!$D$2:$D$421,MATCH(D161,Sistema!$G$2:$G$421,0)),15,5),""),"")</f>
        <v/>
      </c>
      <c r="K161" s="9" t="str">
        <f aca="false">IF(H161="Não encontrado","Não encontrado",IF(H161&lt;&gt;A161,"Local diferente",IF(AND(E161&lt;&gt;"",J161&lt;&gt;"",UPPER(E161)&lt;&gt;UPPER(J161)),"Letra final diferente","Confere")))</f>
        <v>Confere</v>
      </c>
      <c r="L161" s="10"/>
      <c r="M161" s="10"/>
    </row>
    <row r="162" customFormat="false" ht="15" hidden="false" customHeight="false" outlineLevel="0" collapsed="false">
      <c r="A162" s="3" t="s">
        <v>14</v>
      </c>
      <c r="B162" s="9" t="n">
        <v>31</v>
      </c>
      <c r="C162" s="3" t="s">
        <v>504</v>
      </c>
      <c r="D162" s="3" t="str">
        <f aca="false">IF(LEFT(C162,3)="09S",LEFT(C162,14),C162)</f>
        <v>09S29QBR702487</v>
      </c>
      <c r="E162" s="9" t="str">
        <f aca="false">IF(LEFT(C162,3)="09S",MID(C162,15,5),"")</f>
        <v>X</v>
      </c>
      <c r="F162" s="9" t="n">
        <v>505030</v>
      </c>
      <c r="G162" s="3" t="s">
        <v>446</v>
      </c>
      <c r="H162" s="3" t="str">
        <f aca="false">IFERROR(INDEX(Sistema!$F$2:$F$421,MATCH(D162,Sistema!$G$2:$G$421,0)),"Não encontrado")</f>
        <v>Carrinho 06 ( VERDE)</v>
      </c>
      <c r="I162" s="3" t="str">
        <f aca="false">IFERROR(INDEX(Sistema!$C$2:$C$421,MATCH(D162,Sistema!$G$2:$G$421,0)),"")</f>
        <v>Samsung Chromebook 4 - 2021/Lote 1</v>
      </c>
      <c r="J162" s="9" t="str">
        <f aca="false">IF(LEFT(C162,3)="09S",IFERROR(MID(INDEX(Sistema!$D$2:$D$421,MATCH(D162,Sistema!$G$2:$G$421,0)),15,5),""),"")</f>
        <v/>
      </c>
      <c r="K162" s="9" t="str">
        <f aca="false">IF(H162="Não encontrado","Não encontrado",IF(H162&lt;&gt;A162,"Local diferente",IF(AND(E162&lt;&gt;"",J162&lt;&gt;"",UPPER(E162)&lt;&gt;UPPER(J162)),"Letra final diferente","Confere")))</f>
        <v>Confere</v>
      </c>
      <c r="L162" s="10"/>
      <c r="M162" s="10"/>
    </row>
    <row r="163" customFormat="false" ht="15" hidden="false" customHeight="false" outlineLevel="0" collapsed="false">
      <c r="A163" s="3" t="s">
        <v>14</v>
      </c>
      <c r="B163" s="9" t="n">
        <v>32</v>
      </c>
      <c r="C163" s="3" t="s">
        <v>505</v>
      </c>
      <c r="D163" s="3" t="str">
        <f aca="false">IF(LEFT(C163,3)="09S",LEFT(C163,14),C163)</f>
        <v>09S29QBR705449</v>
      </c>
      <c r="E163" s="9" t="str">
        <f aca="false">IF(LEFT(C163,3)="09S",MID(C163,15,5),"")</f>
        <v>T</v>
      </c>
      <c r="F163" s="9" t="n">
        <v>505033</v>
      </c>
      <c r="G163" s="3" t="s">
        <v>446</v>
      </c>
      <c r="H163" s="3" t="str">
        <f aca="false">IFERROR(INDEX(Sistema!$F$2:$F$421,MATCH(D163,Sistema!$G$2:$G$421,0)),"Não encontrado")</f>
        <v>Carrinho 06 ( VERDE)</v>
      </c>
      <c r="I163" s="3" t="str">
        <f aca="false">IFERROR(INDEX(Sistema!$C$2:$C$421,MATCH(D163,Sistema!$G$2:$G$421,0)),"")</f>
        <v>Samsung Chromebook 4 - 2021/Lote 1</v>
      </c>
      <c r="J163" s="9" t="str">
        <f aca="false">IF(LEFT(C163,3)="09S",IFERROR(MID(INDEX(Sistema!$D$2:$D$421,MATCH(D163,Sistema!$G$2:$G$421,0)),15,5),""),"")</f>
        <v/>
      </c>
      <c r="K163" s="9" t="str">
        <f aca="false">IF(H163="Não encontrado","Não encontrado",IF(H163&lt;&gt;A163,"Local diferente",IF(AND(E163&lt;&gt;"",J163&lt;&gt;"",UPPER(E163)&lt;&gt;UPPER(J163)),"Letra final diferente","Confere")))</f>
        <v>Confere</v>
      </c>
      <c r="L163" s="10"/>
      <c r="M163" s="10"/>
    </row>
    <row r="164" customFormat="false" ht="26.85" hidden="false" customHeight="false" outlineLevel="0" collapsed="false">
      <c r="A164" s="3" t="s">
        <v>15</v>
      </c>
      <c r="B164" s="9" t="n">
        <v>1</v>
      </c>
      <c r="C164" s="3" t="s">
        <v>121</v>
      </c>
      <c r="D164" s="3" t="str">
        <f aca="false">IF(LEFT(C164,3)="09S",LEFT(C164,14),C164)</f>
        <v>09S29QBR712609</v>
      </c>
      <c r="E164" s="9" t="str">
        <f aca="false">IF(LEFT(C164,3)="09S",MID(C164,15,5),"")</f>
        <v>M</v>
      </c>
      <c r="F164" s="9" t="n">
        <v>503621</v>
      </c>
      <c r="G164" s="3" t="s">
        <v>446</v>
      </c>
      <c r="H164" s="3" t="str">
        <f aca="false">IFERROR(INDEX(Sistema!$F$2:$F$421,MATCH(D164,Sistema!$G$2:$G$421,0)),"Não encontrado")</f>
        <v>Não Alocado</v>
      </c>
      <c r="I164" s="3" t="str">
        <f aca="false">IFERROR(INDEX(Sistema!$C$2:$C$421,MATCH(D164,Sistema!$G$2:$G$421,0)),"")</f>
        <v>Samsung Chromebook 4 - 2021/Lote 1</v>
      </c>
      <c r="J164" s="9" t="str">
        <f aca="false">IF(LEFT(C164,3)="09S",IFERROR(MID(INDEX(Sistema!$D$2:$D$421,MATCH(D164,Sistema!$G$2:$G$421,0)),15,5),""),"")</f>
        <v/>
      </c>
      <c r="K164" s="9" t="str">
        <f aca="false">IF(H164="Não encontrado","Não encontrado",IF(H164&lt;&gt;A164,"Local diferente",IF(AND(E164&lt;&gt;"",J164&lt;&gt;"",UPPER(E164)&lt;&gt;UPPER(J164)),"Letra final diferente","Confere")))</f>
        <v>Local diferente</v>
      </c>
      <c r="L164" s="10" t="s">
        <v>506</v>
      </c>
      <c r="M164" s="10"/>
    </row>
    <row r="165" customFormat="false" ht="15" hidden="false" customHeight="false" outlineLevel="0" collapsed="false">
      <c r="A165" s="3" t="s">
        <v>15</v>
      </c>
      <c r="B165" s="9" t="n">
        <v>2</v>
      </c>
      <c r="C165" s="3" t="s">
        <v>507</v>
      </c>
      <c r="D165" s="3" t="str">
        <f aca="false">IF(LEFT(C165,3)="09S",LEFT(C165,14),C165)</f>
        <v>09S29QBR811252</v>
      </c>
      <c r="E165" s="9" t="str">
        <f aca="false">IF(LEFT(C165,3)="09S",MID(C165,15,5),"")</f>
        <v>X</v>
      </c>
      <c r="F165" s="9" t="n">
        <v>509508</v>
      </c>
      <c r="G165" s="3" t="s">
        <v>446</v>
      </c>
      <c r="H165" s="3" t="str">
        <f aca="false">IFERROR(INDEX(Sistema!$F$2:$F$421,MATCH(D165,Sistema!$G$2:$G$421,0)),"Não encontrado")</f>
        <v>Carrinho 07 - ROSA</v>
      </c>
      <c r="I165" s="3" t="str">
        <f aca="false">IFERROR(INDEX(Sistema!$C$2:$C$421,MATCH(D165,Sistema!$G$2:$G$421,0)),"")</f>
        <v>Samsung Chromebook 4 - 2021/Lote 2</v>
      </c>
      <c r="J165" s="9" t="str">
        <f aca="false">IF(LEFT(C165,3)="09S",IFERROR(MID(INDEX(Sistema!$D$2:$D$421,MATCH(D165,Sistema!$G$2:$G$421,0)),15,5),""),"")</f>
        <v/>
      </c>
      <c r="K165" s="9" t="str">
        <f aca="false">IF(H165="Não encontrado","Não encontrado",IF(H165&lt;&gt;A165,"Local diferente",IF(AND(E165&lt;&gt;"",J165&lt;&gt;"",UPPER(E165)&lt;&gt;UPPER(J165)),"Letra final diferente","Confere")))</f>
        <v>Confere</v>
      </c>
      <c r="L165" s="10"/>
      <c r="M165" s="10"/>
    </row>
    <row r="166" customFormat="false" ht="15" hidden="false" customHeight="false" outlineLevel="0" collapsed="false">
      <c r="A166" s="3" t="s">
        <v>15</v>
      </c>
      <c r="B166" s="9" t="n">
        <v>3</v>
      </c>
      <c r="C166" s="3" t="s">
        <v>508</v>
      </c>
      <c r="D166" s="3" t="str">
        <f aca="false">IF(LEFT(C166,3)="09S",LEFT(C166,14),C166)</f>
        <v>09S29QAR804854</v>
      </c>
      <c r="E166" s="9" t="str">
        <f aca="false">IF(LEFT(C166,3)="09S",MID(C166,15,5),"")</f>
        <v>T</v>
      </c>
      <c r="F166" s="9" t="n">
        <v>508250</v>
      </c>
      <c r="G166" s="3" t="s">
        <v>446</v>
      </c>
      <c r="H166" s="3" t="str">
        <f aca="false">IFERROR(INDEX(Sistema!$F$2:$F$421,MATCH(D166,Sistema!$G$2:$G$421,0)),"Não encontrado")</f>
        <v>Carrinho 07 - ROSA</v>
      </c>
      <c r="I166" s="3" t="str">
        <f aca="false">IFERROR(INDEX(Sistema!$C$2:$C$421,MATCH(D166,Sistema!$G$2:$G$421,0)),"")</f>
        <v>Samsung Chromebook 4 - 2021/Lote 2</v>
      </c>
      <c r="J166" s="9" t="str">
        <f aca="false">IF(LEFT(C166,3)="09S",IFERROR(MID(INDEX(Sistema!$D$2:$D$421,MATCH(D166,Sistema!$G$2:$G$421,0)),15,5),""),"")</f>
        <v/>
      </c>
      <c r="K166" s="9" t="str">
        <f aca="false">IF(H166="Não encontrado","Não encontrado",IF(H166&lt;&gt;A166,"Local diferente",IF(AND(E166&lt;&gt;"",J166&lt;&gt;"",UPPER(E166)&lt;&gt;UPPER(J166)),"Letra final diferente","Confere")))</f>
        <v>Confere</v>
      </c>
      <c r="L166" s="10"/>
      <c r="M166" s="10"/>
    </row>
    <row r="167" customFormat="false" ht="15" hidden="false" customHeight="false" outlineLevel="0" collapsed="false">
      <c r="A167" s="3" t="s">
        <v>15</v>
      </c>
      <c r="B167" s="9" t="n">
        <v>4</v>
      </c>
      <c r="C167" s="3" t="s">
        <v>509</v>
      </c>
      <c r="D167" s="3" t="str">
        <f aca="false">IF(LEFT(C167,3)="09S",LEFT(C167,14),C167)</f>
        <v>09S29QAR804945</v>
      </c>
      <c r="E167" s="9" t="str">
        <f aca="false">IF(LEFT(C167,3)="09S",MID(C167,15,5),"")</f>
        <v>M</v>
      </c>
      <c r="F167" s="9" t="n">
        <v>508363</v>
      </c>
      <c r="G167" s="3" t="s">
        <v>446</v>
      </c>
      <c r="H167" s="3" t="str">
        <f aca="false">IFERROR(INDEX(Sistema!$F$2:$F$421,MATCH(D167,Sistema!$G$2:$G$421,0)),"Não encontrado")</f>
        <v>Carrinho 07 - ROSA</v>
      </c>
      <c r="I167" s="3" t="str">
        <f aca="false">IFERROR(INDEX(Sistema!$C$2:$C$421,MATCH(D167,Sistema!$G$2:$G$421,0)),"")</f>
        <v>Samsung Chromebook 4 - 2021/Lote 2</v>
      </c>
      <c r="J167" s="9" t="str">
        <f aca="false">IF(LEFT(C167,3)="09S",IFERROR(MID(INDEX(Sistema!$D$2:$D$421,MATCH(D167,Sistema!$G$2:$G$421,0)),15,5),""),"")</f>
        <v/>
      </c>
      <c r="K167" s="9" t="str">
        <f aca="false">IF(H167="Não encontrado","Não encontrado",IF(H167&lt;&gt;A167,"Local diferente",IF(AND(E167&lt;&gt;"",J167&lt;&gt;"",UPPER(E167)&lt;&gt;UPPER(J167)),"Letra final diferente","Confere")))</f>
        <v>Confere</v>
      </c>
      <c r="L167" s="10"/>
      <c r="M167" s="10"/>
    </row>
    <row r="168" customFormat="false" ht="15" hidden="false" customHeight="false" outlineLevel="0" collapsed="false">
      <c r="A168" s="3" t="s">
        <v>15</v>
      </c>
      <c r="B168" s="9" t="n">
        <v>5</v>
      </c>
      <c r="C168" s="3" t="s">
        <v>510</v>
      </c>
      <c r="D168" s="3" t="str">
        <f aca="false">IF(LEFT(C168,3)="09S",LEFT(C168,14),C168)</f>
        <v>09S29QBR814246</v>
      </c>
      <c r="E168" s="9" t="str">
        <f aca="false">IF(LEFT(C168,3)="09S",MID(C168,15,5),"")</f>
        <v>W</v>
      </c>
      <c r="F168" s="9" t="n">
        <v>508086</v>
      </c>
      <c r="G168" s="3" t="s">
        <v>446</v>
      </c>
      <c r="H168" s="3" t="str">
        <f aca="false">IFERROR(INDEX(Sistema!$F$2:$F$421,MATCH(D168,Sistema!$G$2:$G$421,0)),"Não encontrado")</f>
        <v>Carrinho 07 - ROSA</v>
      </c>
      <c r="I168" s="3" t="str">
        <f aca="false">IFERROR(INDEX(Sistema!$C$2:$C$421,MATCH(D168,Sistema!$G$2:$G$421,0)),"")</f>
        <v>Samsung Chromebook 4 - 2021/Lote 2</v>
      </c>
      <c r="J168" s="9" t="str">
        <f aca="false">IF(LEFT(C168,3)="09S",IFERROR(MID(INDEX(Sistema!$D$2:$D$421,MATCH(D168,Sistema!$G$2:$G$421,0)),15,5),""),"")</f>
        <v/>
      </c>
      <c r="K168" s="9" t="str">
        <f aca="false">IF(H168="Não encontrado","Não encontrado",IF(H168&lt;&gt;A168,"Local diferente",IF(AND(E168&lt;&gt;"",J168&lt;&gt;"",UPPER(E168)&lt;&gt;UPPER(J168)),"Letra final diferente","Confere")))</f>
        <v>Confere</v>
      </c>
      <c r="L168" s="10"/>
      <c r="M168" s="10"/>
    </row>
    <row r="169" customFormat="false" ht="15" hidden="false" customHeight="false" outlineLevel="0" collapsed="false">
      <c r="A169" s="3" t="s">
        <v>15</v>
      </c>
      <c r="B169" s="9" t="n">
        <v>6</v>
      </c>
      <c r="C169" s="3" t="s">
        <v>511</v>
      </c>
      <c r="D169" s="3" t="str">
        <f aca="false">IF(LEFT(C169,3)="09S",LEFT(C169,14),C169)</f>
        <v>09S29QBR812869</v>
      </c>
      <c r="E169" s="9" t="str">
        <f aca="false">IF(LEFT(C169,3)="09S",MID(C169,15,5),"")</f>
        <v>T</v>
      </c>
      <c r="F169" s="9" t="n">
        <v>508342</v>
      </c>
      <c r="G169" s="3" t="s">
        <v>446</v>
      </c>
      <c r="H169" s="3" t="str">
        <f aca="false">IFERROR(INDEX(Sistema!$F$2:$F$421,MATCH(D169,Sistema!$G$2:$G$421,0)),"Não encontrado")</f>
        <v>Carrinho 07 - ROSA</v>
      </c>
      <c r="I169" s="3" t="str">
        <f aca="false">IFERROR(INDEX(Sistema!$C$2:$C$421,MATCH(D169,Sistema!$G$2:$G$421,0)),"")</f>
        <v>Samsung Chromebook 4 - 2021/Lote 2</v>
      </c>
      <c r="J169" s="9" t="str">
        <f aca="false">IF(LEFT(C169,3)="09S",IFERROR(MID(INDEX(Sistema!$D$2:$D$421,MATCH(D169,Sistema!$G$2:$G$421,0)),15,5),""),"")</f>
        <v/>
      </c>
      <c r="K169" s="9" t="str">
        <f aca="false">IF(H169="Não encontrado","Não encontrado",IF(H169&lt;&gt;A169,"Local diferente",IF(AND(E169&lt;&gt;"",J169&lt;&gt;"",UPPER(E169)&lt;&gt;UPPER(J169)),"Letra final diferente","Confere")))</f>
        <v>Confere</v>
      </c>
      <c r="L169" s="10"/>
      <c r="M169" s="10"/>
    </row>
    <row r="170" customFormat="false" ht="15" hidden="false" customHeight="false" outlineLevel="0" collapsed="false">
      <c r="A170" s="3" t="s">
        <v>15</v>
      </c>
      <c r="B170" s="9" t="n">
        <v>7</v>
      </c>
      <c r="C170" s="3" t="s">
        <v>512</v>
      </c>
      <c r="D170" s="3" t="str">
        <f aca="false">IF(LEFT(C170,3)="09S",LEFT(C170,14),C170)</f>
        <v>09S29QBR807684</v>
      </c>
      <c r="E170" s="9" t="str">
        <f aca="false">IF(LEFT(C170,3)="09S",MID(C170,15,5),"")</f>
        <v>F</v>
      </c>
      <c r="F170" s="9" t="n">
        <v>508591</v>
      </c>
      <c r="G170" s="3" t="s">
        <v>446</v>
      </c>
      <c r="H170" s="3" t="str">
        <f aca="false">IFERROR(INDEX(Sistema!$F$2:$F$421,MATCH(D170,Sistema!$G$2:$G$421,0)),"Não encontrado")</f>
        <v>Carrinho 07 - ROSA</v>
      </c>
      <c r="I170" s="3" t="str">
        <f aca="false">IFERROR(INDEX(Sistema!$C$2:$C$421,MATCH(D170,Sistema!$G$2:$G$421,0)),"")</f>
        <v>Samsung Chromebook 4 - 2021/Lote 2</v>
      </c>
      <c r="J170" s="9" t="str">
        <f aca="false">IF(LEFT(C170,3)="09S",IFERROR(MID(INDEX(Sistema!$D$2:$D$421,MATCH(D170,Sistema!$G$2:$G$421,0)),15,5),""),"")</f>
        <v/>
      </c>
      <c r="K170" s="9" t="str">
        <f aca="false">IF(H170="Não encontrado","Não encontrado",IF(H170&lt;&gt;A170,"Local diferente",IF(AND(E170&lt;&gt;"",J170&lt;&gt;"",UPPER(E170)&lt;&gt;UPPER(J170)),"Letra final diferente","Confere")))</f>
        <v>Confere</v>
      </c>
      <c r="L170" s="10"/>
      <c r="M170" s="10"/>
    </row>
    <row r="171" customFormat="false" ht="15" hidden="false" customHeight="false" outlineLevel="0" collapsed="false">
      <c r="A171" s="3" t="s">
        <v>15</v>
      </c>
      <c r="B171" s="9" t="n">
        <v>8</v>
      </c>
      <c r="C171" s="3" t="s">
        <v>513</v>
      </c>
      <c r="D171" s="3" t="str">
        <f aca="false">IF(LEFT(C171,3)="09S",LEFT(C171,14),C171)</f>
        <v>09S29QBR809040</v>
      </c>
      <c r="E171" s="9" t="str">
        <f aca="false">IF(LEFT(C171,3)="09S",MID(C171,15,5),"")</f>
        <v>D</v>
      </c>
      <c r="F171" s="9" t="n">
        <v>509411</v>
      </c>
      <c r="G171" s="3" t="s">
        <v>446</v>
      </c>
      <c r="H171" s="3" t="str">
        <f aca="false">IFERROR(INDEX(Sistema!$F$2:$F$421,MATCH(D171,Sistema!$G$2:$G$421,0)),"Não encontrado")</f>
        <v>Carrinho 07 - ROSA</v>
      </c>
      <c r="I171" s="3" t="str">
        <f aca="false">IFERROR(INDEX(Sistema!$C$2:$C$421,MATCH(D171,Sistema!$G$2:$G$421,0)),"")</f>
        <v>Samsung Chromebook 4 - 2021/Lote 2</v>
      </c>
      <c r="J171" s="9" t="str">
        <f aca="false">IF(LEFT(C171,3)="09S",IFERROR(MID(INDEX(Sistema!$D$2:$D$421,MATCH(D171,Sistema!$G$2:$G$421,0)),15,5),""),"")</f>
        <v/>
      </c>
      <c r="K171" s="9" t="str">
        <f aca="false">IF(H171="Não encontrado","Não encontrado",IF(H171&lt;&gt;A171,"Local diferente",IF(AND(E171&lt;&gt;"",J171&lt;&gt;"",UPPER(E171)&lt;&gt;UPPER(J171)),"Letra final diferente","Confere")))</f>
        <v>Confere</v>
      </c>
      <c r="L171" s="10"/>
      <c r="M171" s="10"/>
    </row>
    <row r="172" customFormat="false" ht="15" hidden="false" customHeight="false" outlineLevel="0" collapsed="false">
      <c r="A172" s="3" t="s">
        <v>15</v>
      </c>
      <c r="B172" s="9" t="n">
        <v>9</v>
      </c>
      <c r="C172" s="3" t="s">
        <v>514</v>
      </c>
      <c r="D172" s="3" t="str">
        <f aca="false">IF(LEFT(C172,3)="09S",LEFT(C172,14),C172)</f>
        <v>09S29QBR808962</v>
      </c>
      <c r="E172" s="9" t="str">
        <f aca="false">IF(LEFT(C172,3)="09S",MID(C172,15,5),"")</f>
        <v>A</v>
      </c>
      <c r="F172" s="9" t="n">
        <v>509535</v>
      </c>
      <c r="G172" s="3" t="s">
        <v>446</v>
      </c>
      <c r="H172" s="3" t="str">
        <f aca="false">IFERROR(INDEX(Sistema!$F$2:$F$421,MATCH(D172,Sistema!$G$2:$G$421,0)),"Não encontrado")</f>
        <v>Carrinho 07 - ROSA</v>
      </c>
      <c r="I172" s="3" t="str">
        <f aca="false">IFERROR(INDEX(Sistema!$C$2:$C$421,MATCH(D172,Sistema!$G$2:$G$421,0)),"")</f>
        <v>Samsung Chromebook 4 - 2021/Lote 2</v>
      </c>
      <c r="J172" s="9" t="str">
        <f aca="false">IF(LEFT(C172,3)="09S",IFERROR(MID(INDEX(Sistema!$D$2:$D$421,MATCH(D172,Sistema!$G$2:$G$421,0)),15,5),""),"")</f>
        <v/>
      </c>
      <c r="K172" s="9" t="str">
        <f aca="false">IF(H172="Não encontrado","Não encontrado",IF(H172&lt;&gt;A172,"Local diferente",IF(AND(E172&lt;&gt;"",J172&lt;&gt;"",UPPER(E172)&lt;&gt;UPPER(J172)),"Letra final diferente","Confere")))</f>
        <v>Confere</v>
      </c>
      <c r="L172" s="10"/>
      <c r="M172" s="10"/>
    </row>
    <row r="173" customFormat="false" ht="26.85" hidden="false" customHeight="false" outlineLevel="0" collapsed="false">
      <c r="A173" s="3" t="s">
        <v>15</v>
      </c>
      <c r="B173" s="9" t="n">
        <v>10</v>
      </c>
      <c r="C173" s="3" t="s">
        <v>126</v>
      </c>
      <c r="D173" s="3" t="str">
        <f aca="false">IF(LEFT(C173,3)="09S",LEFT(C173,14),C173)</f>
        <v>09S29QBR096225</v>
      </c>
      <c r="E173" s="9" t="str">
        <f aca="false">IF(LEFT(C173,3)="09S",MID(C173,15,5),"")</f>
        <v>X</v>
      </c>
      <c r="F173" s="9" t="n">
        <v>508254</v>
      </c>
      <c r="G173" s="3" t="s">
        <v>446</v>
      </c>
      <c r="H173" s="3" t="str">
        <f aca="false">IFERROR(INDEX(Sistema!$F$2:$F$421,MATCH(D173,Sistema!$G$2:$G$421,0)),"Não encontrado")</f>
        <v>Não encontrado</v>
      </c>
      <c r="I173" s="3" t="str">
        <f aca="false">IFERROR(INDEX(Sistema!$C$2:$C$421,MATCH(D173,Sistema!$G$2:$G$421,0)),"")</f>
        <v/>
      </c>
      <c r="J173" s="9" t="str">
        <f aca="false">IF(LEFT(C173,3)="09S",IFERROR(MID(INDEX(Sistema!$D$2:$D$421,MATCH(D173,Sistema!$G$2:$G$421,0)),15,5),""),"")</f>
        <v/>
      </c>
      <c r="K173" s="9" t="str">
        <f aca="false">IF(H173="Não encontrado","Não encontrado",IF(H173&lt;&gt;A173,"Local diferente",IF(AND(E173&lt;&gt;"",J173&lt;&gt;"",UPPER(E173)&lt;&gt;UPPER(J173)),"Letra final diferente","Confere")))</f>
        <v>Não encontrado</v>
      </c>
      <c r="L173" s="10" t="s">
        <v>515</v>
      </c>
      <c r="M173" s="10"/>
    </row>
    <row r="174" customFormat="false" ht="15" hidden="false" customHeight="false" outlineLevel="0" collapsed="false">
      <c r="A174" s="3" t="s">
        <v>15</v>
      </c>
      <c r="B174" s="9" t="n">
        <v>11</v>
      </c>
      <c r="C174" s="3" t="s">
        <v>516</v>
      </c>
      <c r="D174" s="3" t="str">
        <f aca="false">IF(LEFT(C174,3)="09S",LEFT(C174,14),C174)</f>
        <v>09S29QBR901563</v>
      </c>
      <c r="E174" s="9" t="str">
        <f aca="false">IF(LEFT(C174,3)="09S",MID(C174,15,5),"")</f>
        <v>P</v>
      </c>
      <c r="F174" s="9" t="n">
        <v>508581</v>
      </c>
      <c r="G174" s="3" t="s">
        <v>446</v>
      </c>
      <c r="H174" s="3" t="str">
        <f aca="false">IFERROR(INDEX(Sistema!$F$2:$F$421,MATCH(D174,Sistema!$G$2:$G$421,0)),"Não encontrado")</f>
        <v>Carrinho 07 - ROSA</v>
      </c>
      <c r="I174" s="3" t="str">
        <f aca="false">IFERROR(INDEX(Sistema!$C$2:$C$421,MATCH(D174,Sistema!$G$2:$G$421,0)),"")</f>
        <v>Samsung Chromebook 4 - 2021/Lote 2</v>
      </c>
      <c r="J174" s="9" t="str">
        <f aca="false">IF(LEFT(C174,3)="09S",IFERROR(MID(INDEX(Sistema!$D$2:$D$421,MATCH(D174,Sistema!$G$2:$G$421,0)),15,5),""),"")</f>
        <v/>
      </c>
      <c r="K174" s="9" t="str">
        <f aca="false">IF(H174="Não encontrado","Não encontrado",IF(H174&lt;&gt;A174,"Local diferente",IF(AND(E174&lt;&gt;"",J174&lt;&gt;"",UPPER(E174)&lt;&gt;UPPER(J174)),"Letra final diferente","Confere")))</f>
        <v>Confere</v>
      </c>
      <c r="L174" s="10"/>
      <c r="M174" s="10"/>
    </row>
    <row r="175" customFormat="false" ht="15" hidden="false" customHeight="false" outlineLevel="0" collapsed="false">
      <c r="A175" s="3" t="s">
        <v>15</v>
      </c>
      <c r="B175" s="9" t="n">
        <v>12</v>
      </c>
      <c r="C175" s="3" t="s">
        <v>517</v>
      </c>
      <c r="D175" s="3" t="str">
        <f aca="false">IF(LEFT(C175,3)="09S",LEFT(C175,14),C175)</f>
        <v>09S29QAR413829</v>
      </c>
      <c r="E175" s="9" t="str">
        <f aca="false">IF(LEFT(C175,3)="09S",MID(C175,15,5),"")</f>
        <v>M</v>
      </c>
      <c r="F175" s="9" t="n">
        <v>508006</v>
      </c>
      <c r="G175" s="3" t="s">
        <v>446</v>
      </c>
      <c r="H175" s="3" t="str">
        <f aca="false">IFERROR(INDEX(Sistema!$F$2:$F$421,MATCH(D175,Sistema!$G$2:$G$421,0)),"Não encontrado")</f>
        <v>Carrinho 07 - ROSA</v>
      </c>
      <c r="I175" s="3" t="str">
        <f aca="false">IFERROR(INDEX(Sistema!$C$2:$C$421,MATCH(D175,Sistema!$G$2:$G$421,0)),"")</f>
        <v>Samsung Chromebook 4 - 2021/Lote 2</v>
      </c>
      <c r="J175" s="9" t="str">
        <f aca="false">IF(LEFT(C175,3)="09S",IFERROR(MID(INDEX(Sistema!$D$2:$D$421,MATCH(D175,Sistema!$G$2:$G$421,0)),15,5),""),"")</f>
        <v/>
      </c>
      <c r="K175" s="9" t="str">
        <f aca="false">IF(H175="Não encontrado","Não encontrado",IF(H175&lt;&gt;A175,"Local diferente",IF(AND(E175&lt;&gt;"",J175&lt;&gt;"",UPPER(E175)&lt;&gt;UPPER(J175)),"Letra final diferente","Confere")))</f>
        <v>Confere</v>
      </c>
      <c r="L175" s="10"/>
      <c r="M175" s="10"/>
    </row>
    <row r="176" customFormat="false" ht="15" hidden="false" customHeight="false" outlineLevel="0" collapsed="false">
      <c r="A176" s="3" t="s">
        <v>15</v>
      </c>
      <c r="B176" s="9" t="n">
        <v>13</v>
      </c>
      <c r="C176" s="3" t="s">
        <v>518</v>
      </c>
      <c r="D176" s="3" t="str">
        <f aca="false">IF(LEFT(C176,3)="09S",LEFT(C176,14),C176)</f>
        <v>09S29QAR109507</v>
      </c>
      <c r="E176" s="9" t="str">
        <f aca="false">IF(LEFT(C176,3)="09S",MID(C176,15,5),"")</f>
        <v>B</v>
      </c>
      <c r="F176" s="9" t="n">
        <v>382732</v>
      </c>
      <c r="G176" s="3" t="s">
        <v>446</v>
      </c>
      <c r="H176" s="3" t="str">
        <f aca="false">IFERROR(INDEX(Sistema!$F$2:$F$421,MATCH(D176,Sistema!$G$2:$G$421,0)),"Não encontrado")</f>
        <v>Carrinho 07 - ROSA</v>
      </c>
      <c r="I176" s="3" t="str">
        <f aca="false">IFERROR(INDEX(Sistema!$C$2:$C$421,MATCH(D176,Sistema!$G$2:$G$421,0)),"")</f>
        <v>Samsung Chromebook 4</v>
      </c>
      <c r="J176" s="9" t="str">
        <f aca="false">IF(LEFT(C176,3)="09S",IFERROR(MID(INDEX(Sistema!$D$2:$D$421,MATCH(D176,Sistema!$G$2:$G$421,0)),15,5),""),"")</f>
        <v>B</v>
      </c>
      <c r="K176" s="9" t="str">
        <f aca="false">IF(H176="Não encontrado","Não encontrado",IF(H176&lt;&gt;A176,"Local diferente",IF(AND(E176&lt;&gt;"",J176&lt;&gt;"",UPPER(E176)&lt;&gt;UPPER(J176)),"Letra final diferente","Confere")))</f>
        <v>Confere</v>
      </c>
      <c r="L176" s="10"/>
      <c r="M176" s="10"/>
    </row>
    <row r="177" customFormat="false" ht="39.55" hidden="false" customHeight="false" outlineLevel="0" collapsed="false">
      <c r="A177" s="3" t="s">
        <v>15</v>
      </c>
      <c r="B177" s="9" t="n">
        <v>14</v>
      </c>
      <c r="C177" s="3" t="s">
        <v>130</v>
      </c>
      <c r="D177" s="3" t="str">
        <f aca="false">IF(LEFT(C177,3)="09S",LEFT(C177,14),C177)</f>
        <v>09S29QBR702099</v>
      </c>
      <c r="E177" s="9" t="str">
        <f aca="false">IF(LEFT(C177,3)="09S",MID(C177,15,5),"")</f>
        <v>V</v>
      </c>
      <c r="F177" s="9" t="n">
        <v>505200</v>
      </c>
      <c r="G177" s="3" t="s">
        <v>446</v>
      </c>
      <c r="H177" s="3" t="str">
        <f aca="false">IFERROR(INDEX(Sistema!$F$2:$F$421,MATCH(D177,Sistema!$G$2:$G$421,0)),"Não encontrado")</f>
        <v>Carrinho 13 - CIANO</v>
      </c>
      <c r="I177" s="3" t="str">
        <f aca="false">IFERROR(INDEX(Sistema!$C$2:$C$421,MATCH(D177,Sistema!$G$2:$G$421,0)),"")</f>
        <v>Samsung Chromebook 4 - 2021/Lote 1</v>
      </c>
      <c r="J177" s="9" t="str">
        <f aca="false">IF(LEFT(C177,3)="09S",IFERROR(MID(INDEX(Sistema!$D$2:$D$421,MATCH(D177,Sistema!$G$2:$G$421,0)),15,5),""),"")</f>
        <v/>
      </c>
      <c r="K177" s="9" t="str">
        <f aca="false">IF(H177="Não encontrado","Não encontrado",IF(H177&lt;&gt;A177,"Local diferente",IF(AND(E177&lt;&gt;"",J177&lt;&gt;"",UPPER(E177)&lt;&gt;UPPER(J177)),"Letra final diferente","Confere")))</f>
        <v>Local diferente</v>
      </c>
      <c r="L177" s="10" t="s">
        <v>519</v>
      </c>
      <c r="M177" s="10"/>
    </row>
    <row r="178" customFormat="false" ht="15" hidden="false" customHeight="false" outlineLevel="0" collapsed="false">
      <c r="A178" s="3" t="s">
        <v>15</v>
      </c>
      <c r="B178" s="9" t="n">
        <v>15</v>
      </c>
      <c r="C178" s="3" t="s">
        <v>520</v>
      </c>
      <c r="D178" s="3" t="str">
        <f aca="false">IF(LEFT(C178,3)="09S",LEFT(C178,14),C178)</f>
        <v>09S29QAR804857</v>
      </c>
      <c r="E178" s="9" t="str">
        <f aca="false">IF(LEFT(C178,3)="09S",MID(C178,15,5),"")</f>
        <v>D</v>
      </c>
      <c r="F178" s="9" t="n">
        <v>508568</v>
      </c>
      <c r="G178" s="3" t="s">
        <v>446</v>
      </c>
      <c r="H178" s="3" t="str">
        <f aca="false">IFERROR(INDEX(Sistema!$F$2:$F$421,MATCH(D178,Sistema!$G$2:$G$421,0)),"Não encontrado")</f>
        <v>Carrinho 07 - ROSA</v>
      </c>
      <c r="I178" s="3" t="str">
        <f aca="false">IFERROR(INDEX(Sistema!$C$2:$C$421,MATCH(D178,Sistema!$G$2:$G$421,0)),"")</f>
        <v>Samsung Chromebook 4 - 2021/Lote 2</v>
      </c>
      <c r="J178" s="9" t="str">
        <f aca="false">IF(LEFT(C178,3)="09S",IFERROR(MID(INDEX(Sistema!$D$2:$D$421,MATCH(D178,Sistema!$G$2:$G$421,0)),15,5),""),"")</f>
        <v/>
      </c>
      <c r="K178" s="9" t="str">
        <f aca="false">IF(H178="Não encontrado","Não encontrado",IF(H178&lt;&gt;A178,"Local diferente",IF(AND(E178&lt;&gt;"",J178&lt;&gt;"",UPPER(E178)&lt;&gt;UPPER(J178)),"Letra final diferente","Confere")))</f>
        <v>Confere</v>
      </c>
      <c r="L178" s="10"/>
      <c r="M178" s="10"/>
    </row>
    <row r="179" customFormat="false" ht="15" hidden="false" customHeight="false" outlineLevel="0" collapsed="false">
      <c r="A179" s="3" t="s">
        <v>15</v>
      </c>
      <c r="B179" s="9" t="n">
        <v>16</v>
      </c>
      <c r="C179" s="3" t="s">
        <v>521</v>
      </c>
      <c r="D179" s="3" t="str">
        <f aca="false">IF(LEFT(C179,3)="09S",LEFT(C179,14),C179)</f>
        <v>09S29QAR901751</v>
      </c>
      <c r="E179" s="9" t="str">
        <f aca="false">IF(LEFT(C179,3)="09S",MID(C179,15,5),"")</f>
        <v>L</v>
      </c>
      <c r="F179" s="9" t="n">
        <v>508567</v>
      </c>
      <c r="G179" s="3" t="s">
        <v>446</v>
      </c>
      <c r="H179" s="3" t="str">
        <f aca="false">IFERROR(INDEX(Sistema!$F$2:$F$421,MATCH(D179,Sistema!$G$2:$G$421,0)),"Não encontrado")</f>
        <v>Carrinho 07 - ROSA</v>
      </c>
      <c r="I179" s="3" t="str">
        <f aca="false">IFERROR(INDEX(Sistema!$C$2:$C$421,MATCH(D179,Sistema!$G$2:$G$421,0)),"")</f>
        <v>Samsung Chromebook 4 - 2021/Lote 2</v>
      </c>
      <c r="J179" s="9" t="str">
        <f aca="false">IF(LEFT(C179,3)="09S",IFERROR(MID(INDEX(Sistema!$D$2:$D$421,MATCH(D179,Sistema!$G$2:$G$421,0)),15,5),""),"")</f>
        <v/>
      </c>
      <c r="K179" s="9" t="str">
        <f aca="false">IF(H179="Não encontrado","Não encontrado",IF(H179&lt;&gt;A179,"Local diferente",IF(AND(E179&lt;&gt;"",J179&lt;&gt;"",UPPER(E179)&lt;&gt;UPPER(J179)),"Letra final diferente","Confere")))</f>
        <v>Confere</v>
      </c>
      <c r="L179" s="10"/>
      <c r="M179" s="10"/>
    </row>
    <row r="180" customFormat="false" ht="26.85" hidden="false" customHeight="false" outlineLevel="0" collapsed="false">
      <c r="A180" s="3" t="s">
        <v>15</v>
      </c>
      <c r="B180" s="9" t="n">
        <v>17</v>
      </c>
      <c r="C180" s="3" t="s">
        <v>134</v>
      </c>
      <c r="D180" s="3" t="str">
        <f aca="false">IF(LEFT(C180,3)="09S",LEFT(C180,14),C180)</f>
        <v>09S29QB906223V</v>
      </c>
      <c r="E180" s="9" t="str">
        <f aca="false">IF(LEFT(C180,3)="09S",MID(C180,15,5),"")</f>
        <v/>
      </c>
      <c r="F180" s="9" t="n">
        <v>508233</v>
      </c>
      <c r="G180" s="3" t="s">
        <v>446</v>
      </c>
      <c r="H180" s="3" t="str">
        <f aca="false">IFERROR(INDEX(Sistema!$F$2:$F$421,MATCH(D180,Sistema!$G$2:$G$421,0)),"Não encontrado")</f>
        <v>Não encontrado</v>
      </c>
      <c r="I180" s="3" t="str">
        <f aca="false">IFERROR(INDEX(Sistema!$C$2:$C$421,MATCH(D180,Sistema!$G$2:$G$421,0)),"")</f>
        <v/>
      </c>
      <c r="J180" s="9" t="str">
        <f aca="false">IF(LEFT(C180,3)="09S",IFERROR(MID(INDEX(Sistema!$D$2:$D$421,MATCH(D180,Sistema!$G$2:$G$421,0)),15,5),""),"")</f>
        <v/>
      </c>
      <c r="K180" s="9" t="str">
        <f aca="false">IF(H180="Não encontrado","Não encontrado",IF(H180&lt;&gt;A180,"Local diferente",IF(AND(E180&lt;&gt;"",J180&lt;&gt;"",UPPER(E180)&lt;&gt;UPPER(J180)),"Letra final diferente","Confere")))</f>
        <v>Não encontrado</v>
      </c>
      <c r="L180" s="10" t="s">
        <v>522</v>
      </c>
      <c r="M180" s="10"/>
    </row>
    <row r="181" customFormat="false" ht="15" hidden="false" customHeight="false" outlineLevel="0" collapsed="false">
      <c r="A181" s="3" t="s">
        <v>15</v>
      </c>
      <c r="B181" s="9" t="n">
        <v>18</v>
      </c>
      <c r="C181" s="3" t="s">
        <v>523</v>
      </c>
      <c r="D181" s="3" t="str">
        <f aca="false">IF(LEFT(C181,3)="09S",LEFT(C181,14),C181)</f>
        <v>09S29QBR809485</v>
      </c>
      <c r="E181" s="9" t="str">
        <f aca="false">IF(LEFT(C181,3)="09S",MID(C181,15,5),"")</f>
        <v>D</v>
      </c>
      <c r="F181" s="9" t="n">
        <v>509502</v>
      </c>
      <c r="G181" s="3" t="s">
        <v>446</v>
      </c>
      <c r="H181" s="3" t="str">
        <f aca="false">IFERROR(INDEX(Sistema!$F$2:$F$421,MATCH(D181,Sistema!$G$2:$G$421,0)),"Não encontrado")</f>
        <v>Carrinho 07 - ROSA</v>
      </c>
      <c r="I181" s="3" t="str">
        <f aca="false">IFERROR(INDEX(Sistema!$C$2:$C$421,MATCH(D181,Sistema!$G$2:$G$421,0)),"")</f>
        <v>Samsung Chromebook 4 - 2021/Lote 2</v>
      </c>
      <c r="J181" s="9" t="str">
        <f aca="false">IF(LEFT(C181,3)="09S",IFERROR(MID(INDEX(Sistema!$D$2:$D$421,MATCH(D181,Sistema!$G$2:$G$421,0)),15,5),""),"")</f>
        <v/>
      </c>
      <c r="K181" s="9" t="str">
        <f aca="false">IF(H181="Não encontrado","Não encontrado",IF(H181&lt;&gt;A181,"Local diferente",IF(AND(E181&lt;&gt;"",J181&lt;&gt;"",UPPER(E181)&lt;&gt;UPPER(J181)),"Letra final diferente","Confere")))</f>
        <v>Confere</v>
      </c>
      <c r="L181" s="10"/>
      <c r="M181" s="10"/>
    </row>
    <row r="182" customFormat="false" ht="15" hidden="false" customHeight="false" outlineLevel="0" collapsed="false">
      <c r="A182" s="3" t="s">
        <v>15</v>
      </c>
      <c r="B182" s="9" t="n">
        <v>19</v>
      </c>
      <c r="C182" s="3" t="s">
        <v>524</v>
      </c>
      <c r="D182" s="3" t="str">
        <f aca="false">IF(LEFT(C182,3)="09S",LEFT(C182,14),C182)</f>
        <v>09S29QBR906228</v>
      </c>
      <c r="E182" s="9" t="str">
        <f aca="false">IF(LEFT(C182,3)="09S",MID(C182,15,5),"")</f>
        <v>Y</v>
      </c>
      <c r="F182" s="9" t="n">
        <v>508230</v>
      </c>
      <c r="G182" s="3" t="s">
        <v>446</v>
      </c>
      <c r="H182" s="3" t="str">
        <f aca="false">IFERROR(INDEX(Sistema!$F$2:$F$421,MATCH(D182,Sistema!$G$2:$G$421,0)),"Não encontrado")</f>
        <v>Carrinho 07 - ROSA</v>
      </c>
      <c r="I182" s="3" t="str">
        <f aca="false">IFERROR(INDEX(Sistema!$C$2:$C$421,MATCH(D182,Sistema!$G$2:$G$421,0)),"")</f>
        <v>Samsung Chromebook 4 - 2021/Lote 2</v>
      </c>
      <c r="J182" s="9" t="str">
        <f aca="false">IF(LEFT(C182,3)="09S",IFERROR(MID(INDEX(Sistema!$D$2:$D$421,MATCH(D182,Sistema!$G$2:$G$421,0)),15,5),""),"")</f>
        <v/>
      </c>
      <c r="K182" s="9" t="str">
        <f aca="false">IF(H182="Não encontrado","Não encontrado",IF(H182&lt;&gt;A182,"Local diferente",IF(AND(E182&lt;&gt;"",J182&lt;&gt;"",UPPER(E182)&lt;&gt;UPPER(J182)),"Letra final diferente","Confere")))</f>
        <v>Confere</v>
      </c>
      <c r="L182" s="10"/>
      <c r="M182" s="10"/>
    </row>
    <row r="183" customFormat="false" ht="15" hidden="false" customHeight="false" outlineLevel="0" collapsed="false">
      <c r="A183" s="3" t="s">
        <v>15</v>
      </c>
      <c r="B183" s="9" t="n">
        <v>20</v>
      </c>
      <c r="C183" s="3" t="s">
        <v>525</v>
      </c>
      <c r="D183" s="3" t="str">
        <f aca="false">IF(LEFT(C183,3)="09S",LEFT(C183,14),C183)</f>
        <v>09S29QAR804939</v>
      </c>
      <c r="E183" s="9" t="str">
        <f aca="false">IF(LEFT(C183,3)="09S",MID(C183,15,5),"")</f>
        <v>P</v>
      </c>
      <c r="F183" s="9" t="n">
        <v>508245</v>
      </c>
      <c r="G183" s="3" t="s">
        <v>446</v>
      </c>
      <c r="H183" s="3" t="str">
        <f aca="false">IFERROR(INDEX(Sistema!$F$2:$F$421,MATCH(D183,Sistema!$G$2:$G$421,0)),"Não encontrado")</f>
        <v>Carrinho 07 - ROSA</v>
      </c>
      <c r="I183" s="3" t="str">
        <f aca="false">IFERROR(INDEX(Sistema!$C$2:$C$421,MATCH(D183,Sistema!$G$2:$G$421,0)),"")</f>
        <v>Samsung Chromebook 4 - 2021/Lote 2</v>
      </c>
      <c r="J183" s="9" t="str">
        <f aca="false">IF(LEFT(C183,3)="09S",IFERROR(MID(INDEX(Sistema!$D$2:$D$421,MATCH(D183,Sistema!$G$2:$G$421,0)),15,5),""),"")</f>
        <v/>
      </c>
      <c r="K183" s="9" t="str">
        <f aca="false">IF(H183="Não encontrado","Não encontrado",IF(H183&lt;&gt;A183,"Local diferente",IF(AND(E183&lt;&gt;"",J183&lt;&gt;"",UPPER(E183)&lt;&gt;UPPER(J183)),"Letra final diferente","Confere")))</f>
        <v>Confere</v>
      </c>
      <c r="L183" s="10"/>
      <c r="M183" s="10"/>
    </row>
    <row r="184" customFormat="false" ht="15" hidden="false" customHeight="false" outlineLevel="0" collapsed="false">
      <c r="A184" s="3" t="s">
        <v>15</v>
      </c>
      <c r="B184" s="9" t="n">
        <v>21</v>
      </c>
      <c r="C184" s="3" t="s">
        <v>526</v>
      </c>
      <c r="D184" s="3" t="str">
        <f aca="false">IF(LEFT(C184,3)="09S",LEFT(C184,14),C184)</f>
        <v>09S29QBR702174</v>
      </c>
      <c r="E184" s="9" t="str">
        <f aca="false">IF(LEFT(C184,3)="09S",MID(C184,15,5),"")</f>
        <v>A</v>
      </c>
      <c r="F184" s="9" t="n">
        <v>505208</v>
      </c>
      <c r="G184" s="3" t="s">
        <v>446</v>
      </c>
      <c r="H184" s="3" t="str">
        <f aca="false">IFERROR(INDEX(Sistema!$F$2:$F$421,MATCH(D184,Sistema!$G$2:$G$421,0)),"Não encontrado")</f>
        <v>Carrinho 07 - ROSA</v>
      </c>
      <c r="I184" s="3" t="str">
        <f aca="false">IFERROR(INDEX(Sistema!$C$2:$C$421,MATCH(D184,Sistema!$G$2:$G$421,0)),"")</f>
        <v>Samsung Chromebook 4 - 2021/Lote 1</v>
      </c>
      <c r="J184" s="9" t="str">
        <f aca="false">IF(LEFT(C184,3)="09S",IFERROR(MID(INDEX(Sistema!$D$2:$D$421,MATCH(D184,Sistema!$G$2:$G$421,0)),15,5),""),"")</f>
        <v/>
      </c>
      <c r="K184" s="9" t="str">
        <f aca="false">IF(H184="Não encontrado","Não encontrado",IF(H184&lt;&gt;A184,"Local diferente",IF(AND(E184&lt;&gt;"",J184&lt;&gt;"",UPPER(E184)&lt;&gt;UPPER(J184)),"Letra final diferente","Confere")))</f>
        <v>Confere</v>
      </c>
      <c r="L184" s="10"/>
      <c r="M184" s="10"/>
    </row>
    <row r="185" customFormat="false" ht="15" hidden="false" customHeight="false" outlineLevel="0" collapsed="false">
      <c r="A185" s="3" t="s">
        <v>15</v>
      </c>
      <c r="B185" s="9" t="n">
        <v>22</v>
      </c>
      <c r="C185" s="3" t="s">
        <v>527</v>
      </c>
      <c r="D185" s="3" t="str">
        <f aca="false">IF(LEFT(C185,3)="09S",LEFT(C185,14),C185)</f>
        <v>09S29QBR812790</v>
      </c>
      <c r="E185" s="9" t="str">
        <f aca="false">IF(LEFT(C185,3)="09S",MID(C185,15,5),"")</f>
        <v>Z</v>
      </c>
      <c r="F185" s="9" t="n">
        <v>503622</v>
      </c>
      <c r="G185" s="3" t="s">
        <v>446</v>
      </c>
      <c r="H185" s="3" t="str">
        <f aca="false">IFERROR(INDEX(Sistema!$F$2:$F$421,MATCH(D185,Sistema!$G$2:$G$421,0)),"Não encontrado")</f>
        <v>Carrinho 07 - ROSA</v>
      </c>
      <c r="I185" s="3" t="str">
        <f aca="false">IFERROR(INDEX(Sistema!$C$2:$C$421,MATCH(D185,Sistema!$G$2:$G$421,0)),"")</f>
        <v>Samsung Chromebook 4 - 2021/Lote 1</v>
      </c>
      <c r="J185" s="9" t="str">
        <f aca="false">IF(LEFT(C185,3)="09S",IFERROR(MID(INDEX(Sistema!$D$2:$D$421,MATCH(D185,Sistema!$G$2:$G$421,0)),15,5),""),"")</f>
        <v/>
      </c>
      <c r="K185" s="9" t="str">
        <f aca="false">IF(H185="Não encontrado","Não encontrado",IF(H185&lt;&gt;A185,"Local diferente",IF(AND(E185&lt;&gt;"",J185&lt;&gt;"",UPPER(E185)&lt;&gt;UPPER(J185)),"Letra final diferente","Confere")))</f>
        <v>Confere</v>
      </c>
      <c r="L185" s="10"/>
      <c r="M185" s="10"/>
    </row>
    <row r="186" customFormat="false" ht="15" hidden="false" customHeight="false" outlineLevel="0" collapsed="false">
      <c r="A186" s="3" t="s">
        <v>15</v>
      </c>
      <c r="B186" s="9" t="n">
        <v>23</v>
      </c>
      <c r="C186" s="3" t="s">
        <v>138</v>
      </c>
      <c r="D186" s="3" t="str">
        <f aca="false">IF(LEFT(C186,3)="09S",LEFT(C186,14),C186)</f>
        <v>09S29QANC07195</v>
      </c>
      <c r="E186" s="9" t="str">
        <f aca="false">IF(LEFT(C186,3)="09S",MID(C186,15,5),"")</f>
        <v>B</v>
      </c>
      <c r="F186" s="9" t="n">
        <v>382906</v>
      </c>
      <c r="G186" s="3" t="s">
        <v>446</v>
      </c>
      <c r="H186" s="3" t="str">
        <f aca="false">IFERROR(INDEX(Sistema!$F$2:$F$421,MATCH(D186,Sistema!$G$2:$G$421,0)),"Não encontrado")</f>
        <v>Carrinho 07 - ROSA</v>
      </c>
      <c r="I186" s="3" t="str">
        <f aca="false">IFERROR(INDEX(Sistema!$C$2:$C$421,MATCH(D186,Sistema!$G$2:$G$421,0)),"")</f>
        <v>Samsung Chromebook 4</v>
      </c>
      <c r="J186" s="9" t="str">
        <f aca="false">IF(LEFT(C186,3)="09S",IFERROR(MID(INDEX(Sistema!$D$2:$D$421,MATCH(D186,Sistema!$G$2:$G$421,0)),15,5),""),"")</f>
        <v>D</v>
      </c>
      <c r="K186" s="9" t="str">
        <f aca="false">IF(H186="Não encontrado","Não encontrado",IF(H186&lt;&gt;A186,"Local diferente",IF(AND(E186&lt;&gt;"",J186&lt;&gt;"",UPPER(E186)&lt;&gt;UPPER(J186)),"Letra final diferente","Confere")))</f>
        <v>Letra final diferente</v>
      </c>
      <c r="L186" s="10" t="s">
        <v>528</v>
      </c>
      <c r="M186" s="10"/>
    </row>
    <row r="187" customFormat="false" ht="15" hidden="false" customHeight="false" outlineLevel="0" collapsed="false">
      <c r="A187" s="3" t="s">
        <v>15</v>
      </c>
      <c r="B187" s="9" t="n">
        <v>24</v>
      </c>
      <c r="C187" s="3" t="s">
        <v>529</v>
      </c>
      <c r="D187" s="3" t="str">
        <f aca="false">IF(LEFT(C187,3)="09S",LEFT(C187,14),C187)</f>
        <v>09S29QBR704880</v>
      </c>
      <c r="E187" s="9" t="str">
        <f aca="false">IF(LEFT(C187,3)="09S",MID(C187,15,5),"")</f>
        <v>E</v>
      </c>
      <c r="F187" s="9" t="n">
        <v>505106</v>
      </c>
      <c r="G187" s="3" t="s">
        <v>446</v>
      </c>
      <c r="H187" s="3" t="str">
        <f aca="false">IFERROR(INDEX(Sistema!$F$2:$F$421,MATCH(D187,Sistema!$G$2:$G$421,0)),"Não encontrado")</f>
        <v>Carrinho 07 - ROSA</v>
      </c>
      <c r="I187" s="3" t="str">
        <f aca="false">IFERROR(INDEX(Sistema!$C$2:$C$421,MATCH(D187,Sistema!$G$2:$G$421,0)),"")</f>
        <v>Samsung Chromebook 4 - 2021/Lote 1</v>
      </c>
      <c r="J187" s="9" t="str">
        <f aca="false">IF(LEFT(C187,3)="09S",IFERROR(MID(INDEX(Sistema!$D$2:$D$421,MATCH(D187,Sistema!$G$2:$G$421,0)),15,5),""),"")</f>
        <v/>
      </c>
      <c r="K187" s="9" t="str">
        <f aca="false">IF(H187="Não encontrado","Não encontrado",IF(H187&lt;&gt;A187,"Local diferente",IF(AND(E187&lt;&gt;"",J187&lt;&gt;"",UPPER(E187)&lt;&gt;UPPER(J187)),"Letra final diferente","Confere")))</f>
        <v>Confere</v>
      </c>
      <c r="L187" s="10"/>
      <c r="M187" s="10"/>
    </row>
    <row r="188" customFormat="false" ht="15" hidden="false" customHeight="false" outlineLevel="0" collapsed="false">
      <c r="A188" s="3" t="s">
        <v>15</v>
      </c>
      <c r="B188" s="9" t="n">
        <v>25</v>
      </c>
      <c r="C188" s="3" t="s">
        <v>530</v>
      </c>
      <c r="D188" s="3" t="str">
        <f aca="false">IF(LEFT(C188,3)="09S",LEFT(C188,14),C188)</f>
        <v>09S29QBR722988</v>
      </c>
      <c r="E188" s="9" t="str">
        <f aca="false">IF(LEFT(C188,3)="09S",MID(C188,15,5),"")</f>
        <v>K</v>
      </c>
      <c r="F188" s="9" t="n">
        <v>505114</v>
      </c>
      <c r="G188" s="3" t="s">
        <v>446</v>
      </c>
      <c r="H188" s="3" t="str">
        <f aca="false">IFERROR(INDEX(Sistema!$F$2:$F$421,MATCH(D188,Sistema!$G$2:$G$421,0)),"Não encontrado")</f>
        <v>Carrinho 07 - ROSA</v>
      </c>
      <c r="I188" s="3" t="str">
        <f aca="false">IFERROR(INDEX(Sistema!$C$2:$C$421,MATCH(D188,Sistema!$G$2:$G$421,0)),"")</f>
        <v>Samsung Chromebook 4 - 2021/Lote 1</v>
      </c>
      <c r="J188" s="9" t="str">
        <f aca="false">IF(LEFT(C188,3)="09S",IFERROR(MID(INDEX(Sistema!$D$2:$D$421,MATCH(D188,Sistema!$G$2:$G$421,0)),15,5),""),"")</f>
        <v/>
      </c>
      <c r="K188" s="9" t="str">
        <f aca="false">IF(H188="Não encontrado","Não encontrado",IF(H188&lt;&gt;A188,"Local diferente",IF(AND(E188&lt;&gt;"",J188&lt;&gt;"",UPPER(E188)&lt;&gt;UPPER(J188)),"Letra final diferente","Confere")))</f>
        <v>Confere</v>
      </c>
      <c r="L188" s="10"/>
      <c r="M188" s="10"/>
    </row>
    <row r="189" customFormat="false" ht="15" hidden="false" customHeight="false" outlineLevel="0" collapsed="false">
      <c r="A189" s="3" t="s">
        <v>15</v>
      </c>
      <c r="B189" s="9" t="n">
        <v>26</v>
      </c>
      <c r="C189" s="3" t="s">
        <v>531</v>
      </c>
      <c r="D189" s="3" t="str">
        <f aca="false">IF(LEFT(C189,3)="09S",LEFT(C189,14),C189)</f>
        <v>09S29QBR809029</v>
      </c>
      <c r="E189" s="9" t="str">
        <f aca="false">IF(LEFT(C189,3)="09S",MID(C189,15,5),"")</f>
        <v>Y</v>
      </c>
      <c r="F189" s="9" t="n">
        <v>509531</v>
      </c>
      <c r="G189" s="3" t="s">
        <v>446</v>
      </c>
      <c r="H189" s="3" t="str">
        <f aca="false">IFERROR(INDEX(Sistema!$F$2:$F$421,MATCH(D189,Sistema!$G$2:$G$421,0)),"Não encontrado")</f>
        <v>Carrinho 07 - ROSA</v>
      </c>
      <c r="I189" s="3" t="str">
        <f aca="false">IFERROR(INDEX(Sistema!$C$2:$C$421,MATCH(D189,Sistema!$G$2:$G$421,0)),"")</f>
        <v>Samsung Chromebook 4 - 2021/Lote 2</v>
      </c>
      <c r="J189" s="9" t="str">
        <f aca="false">IF(LEFT(C189,3)="09S",IFERROR(MID(INDEX(Sistema!$D$2:$D$421,MATCH(D189,Sistema!$G$2:$G$421,0)),15,5),""),"")</f>
        <v/>
      </c>
      <c r="K189" s="9" t="str">
        <f aca="false">IF(H189="Não encontrado","Não encontrado",IF(H189&lt;&gt;A189,"Local diferente",IF(AND(E189&lt;&gt;"",J189&lt;&gt;"",UPPER(E189)&lt;&gt;UPPER(J189)),"Letra final diferente","Confere")))</f>
        <v>Confere</v>
      </c>
      <c r="L189" s="10"/>
      <c r="M189" s="10"/>
    </row>
    <row r="190" customFormat="false" ht="15" hidden="false" customHeight="false" outlineLevel="0" collapsed="false">
      <c r="A190" s="3" t="s">
        <v>15</v>
      </c>
      <c r="B190" s="9" t="n">
        <v>27</v>
      </c>
      <c r="C190" s="3" t="s">
        <v>532</v>
      </c>
      <c r="D190" s="3" t="str">
        <f aca="false">IF(LEFT(C190,3)="09S",LEFT(C190,14),C190)</f>
        <v>09S29QAR110749</v>
      </c>
      <c r="E190" s="9" t="str">
        <f aca="false">IF(LEFT(C190,3)="09S",MID(C190,15,5),"")</f>
        <v>W</v>
      </c>
      <c r="F190" s="9" t="n">
        <v>382723</v>
      </c>
      <c r="G190" s="3" t="s">
        <v>446</v>
      </c>
      <c r="H190" s="3" t="str">
        <f aca="false">IFERROR(INDEX(Sistema!$F$2:$F$421,MATCH(D190,Sistema!$G$2:$G$421,0)),"Não encontrado")</f>
        <v>Carrinho 07 - ROSA</v>
      </c>
      <c r="I190" s="3" t="str">
        <f aca="false">IFERROR(INDEX(Sistema!$C$2:$C$421,MATCH(D190,Sistema!$G$2:$G$421,0)),"")</f>
        <v>Samsung Chromebook 4</v>
      </c>
      <c r="J190" s="9" t="str">
        <f aca="false">IF(LEFT(C190,3)="09S",IFERROR(MID(INDEX(Sistema!$D$2:$D$421,MATCH(D190,Sistema!$G$2:$G$421,0)),15,5),""),"")</f>
        <v>W</v>
      </c>
      <c r="K190" s="9" t="str">
        <f aca="false">IF(H190="Não encontrado","Não encontrado",IF(H190&lt;&gt;A190,"Local diferente",IF(AND(E190&lt;&gt;"",J190&lt;&gt;"",UPPER(E190)&lt;&gt;UPPER(J190)),"Letra final diferente","Confere")))</f>
        <v>Confere</v>
      </c>
      <c r="L190" s="10"/>
      <c r="M190" s="10"/>
    </row>
    <row r="191" customFormat="false" ht="15" hidden="false" customHeight="false" outlineLevel="0" collapsed="false">
      <c r="A191" s="3" t="s">
        <v>15</v>
      </c>
      <c r="B191" s="9" t="n">
        <v>28</v>
      </c>
      <c r="C191" s="3" t="s">
        <v>533</v>
      </c>
      <c r="D191" s="3" t="str">
        <f aca="false">IF(LEFT(C191,3)="09S",LEFT(C191,14),C191)</f>
        <v>09S29QAR109542</v>
      </c>
      <c r="E191" s="9" t="str">
        <f aca="false">IF(LEFT(C191,3)="09S",MID(C191,15,5),"")</f>
        <v>T</v>
      </c>
      <c r="F191" s="9" t="n">
        <v>382747</v>
      </c>
      <c r="G191" s="3" t="s">
        <v>446</v>
      </c>
      <c r="H191" s="3" t="str">
        <f aca="false">IFERROR(INDEX(Sistema!$F$2:$F$421,MATCH(D191,Sistema!$G$2:$G$421,0)),"Não encontrado")</f>
        <v>Carrinho 07 - ROSA</v>
      </c>
      <c r="I191" s="3" t="str">
        <f aca="false">IFERROR(INDEX(Sistema!$C$2:$C$421,MATCH(D191,Sistema!$G$2:$G$421,0)),"")</f>
        <v>Samsung Chromebook 4</v>
      </c>
      <c r="J191" s="9" t="str">
        <f aca="false">IF(LEFT(C191,3)="09S",IFERROR(MID(INDEX(Sistema!$D$2:$D$421,MATCH(D191,Sistema!$G$2:$G$421,0)),15,5),""),"")</f>
        <v>T</v>
      </c>
      <c r="K191" s="9" t="str">
        <f aca="false">IF(H191="Não encontrado","Não encontrado",IF(H191&lt;&gt;A191,"Local diferente",IF(AND(E191&lt;&gt;"",J191&lt;&gt;"",UPPER(E191)&lt;&gt;UPPER(J191)),"Letra final diferente","Confere")))</f>
        <v>Confere</v>
      </c>
      <c r="L191" s="10"/>
      <c r="M191" s="10"/>
    </row>
    <row r="192" customFormat="false" ht="15" hidden="false" customHeight="false" outlineLevel="0" collapsed="false">
      <c r="A192" s="3" t="s">
        <v>15</v>
      </c>
      <c r="B192" s="9" t="n">
        <v>29</v>
      </c>
      <c r="C192" s="3" t="s">
        <v>534</v>
      </c>
      <c r="D192" s="3" t="str">
        <f aca="false">IF(LEFT(C192,3)="09S",LEFT(C192,14),C192)</f>
        <v>09S29QBR700412</v>
      </c>
      <c r="E192" s="9" t="str">
        <f aca="false">IF(LEFT(C192,3)="09S",MID(C192,15,5),"")</f>
        <v>D</v>
      </c>
      <c r="F192" s="9" t="n">
        <v>505043</v>
      </c>
      <c r="G192" s="3" t="s">
        <v>446</v>
      </c>
      <c r="H192" s="3" t="str">
        <f aca="false">IFERROR(INDEX(Sistema!$F$2:$F$421,MATCH(D192,Sistema!$G$2:$G$421,0)),"Não encontrado")</f>
        <v>Carrinho 07 - ROSA</v>
      </c>
      <c r="I192" s="3" t="str">
        <f aca="false">IFERROR(INDEX(Sistema!$C$2:$C$421,MATCH(D192,Sistema!$G$2:$G$421,0)),"")</f>
        <v>Samsung Chromebook 4 - 2021/Lote 1</v>
      </c>
      <c r="J192" s="9" t="str">
        <f aca="false">IF(LEFT(C192,3)="09S",IFERROR(MID(INDEX(Sistema!$D$2:$D$421,MATCH(D192,Sistema!$G$2:$G$421,0)),15,5),""),"")</f>
        <v/>
      </c>
      <c r="K192" s="9" t="str">
        <f aca="false">IF(H192="Não encontrado","Não encontrado",IF(H192&lt;&gt;A192,"Local diferente",IF(AND(E192&lt;&gt;"",J192&lt;&gt;"",UPPER(E192)&lt;&gt;UPPER(J192)),"Letra final diferente","Confere")))</f>
        <v>Confere</v>
      </c>
      <c r="L192" s="10"/>
      <c r="M192" s="10"/>
    </row>
    <row r="193" customFormat="false" ht="15" hidden="false" customHeight="false" outlineLevel="0" collapsed="false">
      <c r="A193" s="3" t="s">
        <v>15</v>
      </c>
      <c r="B193" s="9" t="n">
        <v>30</v>
      </c>
      <c r="C193" s="3" t="s">
        <v>535</v>
      </c>
      <c r="D193" s="3" t="str">
        <f aca="false">IF(LEFT(C193,3)="09S",LEFT(C193,14),C193)</f>
        <v>09S29QAR110693</v>
      </c>
      <c r="E193" s="9" t="str">
        <f aca="false">IF(LEFT(C193,3)="09S",MID(C193,15,5),"")</f>
        <v>P</v>
      </c>
      <c r="F193" s="9" t="n">
        <v>382695</v>
      </c>
      <c r="G193" s="3" t="s">
        <v>446</v>
      </c>
      <c r="H193" s="3" t="str">
        <f aca="false">IFERROR(INDEX(Sistema!$F$2:$F$421,MATCH(D193,Sistema!$G$2:$G$421,0)),"Não encontrado")</f>
        <v>Carrinho 07 - ROSA</v>
      </c>
      <c r="I193" s="3" t="str">
        <f aca="false">IFERROR(INDEX(Sistema!$C$2:$C$421,MATCH(D193,Sistema!$G$2:$G$421,0)),"")</f>
        <v>Samsung Chromebook 4</v>
      </c>
      <c r="J193" s="9" t="str">
        <f aca="false">IF(LEFT(C193,3)="09S",IFERROR(MID(INDEX(Sistema!$D$2:$D$421,MATCH(D193,Sistema!$G$2:$G$421,0)),15,5),""),"")</f>
        <v>P</v>
      </c>
      <c r="K193" s="9" t="str">
        <f aca="false">IF(H193="Não encontrado","Não encontrado",IF(H193&lt;&gt;A193,"Local diferente",IF(AND(E193&lt;&gt;"",J193&lt;&gt;"",UPPER(E193)&lt;&gt;UPPER(J193)),"Letra final diferente","Confere")))</f>
        <v>Confere</v>
      </c>
      <c r="L193" s="10"/>
      <c r="M193" s="10"/>
    </row>
    <row r="194" customFormat="false" ht="26.85" hidden="false" customHeight="false" outlineLevel="0" collapsed="false">
      <c r="A194" s="3" t="s">
        <v>15</v>
      </c>
      <c r="B194" s="9" t="n">
        <v>31</v>
      </c>
      <c r="C194" s="3" t="s">
        <v>142</v>
      </c>
      <c r="D194" s="3" t="str">
        <f aca="false">IF(LEFT(C194,3)="09S",LEFT(C194,14),C194)</f>
        <v>09S29QUEBR8118</v>
      </c>
      <c r="E194" s="9" t="str">
        <f aca="false">IF(LEFT(C194,3)="09S",MID(C194,15,5),"")</f>
        <v>79T</v>
      </c>
      <c r="F194" s="9" t="n">
        <v>503655</v>
      </c>
      <c r="G194" s="3" t="s">
        <v>446</v>
      </c>
      <c r="H194" s="3" t="str">
        <f aca="false">IFERROR(INDEX(Sistema!$F$2:$F$421,MATCH(D194,Sistema!$G$2:$G$421,0)),"Não encontrado")</f>
        <v>Não encontrado</v>
      </c>
      <c r="I194" s="3" t="str">
        <f aca="false">IFERROR(INDEX(Sistema!$C$2:$C$421,MATCH(D194,Sistema!$G$2:$G$421,0)),"")</f>
        <v/>
      </c>
      <c r="J194" s="9" t="str">
        <f aca="false">IF(LEFT(C194,3)="09S",IFERROR(MID(INDEX(Sistema!$D$2:$D$421,MATCH(D194,Sistema!$G$2:$G$421,0)),15,5),""),"")</f>
        <v/>
      </c>
      <c r="K194" s="9" t="str">
        <f aca="false">IF(H194="Não encontrado","Não encontrado",IF(H194&lt;&gt;A194,"Local diferente",IF(AND(E194&lt;&gt;"",J194&lt;&gt;"",UPPER(E194)&lt;&gt;UPPER(J194)),"Letra final diferente","Confere")))</f>
        <v>Não encontrado</v>
      </c>
      <c r="L194" s="10" t="s">
        <v>536</v>
      </c>
      <c r="M194" s="10"/>
    </row>
    <row r="195" customFormat="false" ht="26.85" hidden="false" customHeight="false" outlineLevel="0" collapsed="false">
      <c r="A195" s="3" t="s">
        <v>16</v>
      </c>
      <c r="B195" s="9" t="n">
        <v>1</v>
      </c>
      <c r="C195" s="3" t="s">
        <v>147</v>
      </c>
      <c r="D195" s="3" t="str">
        <f aca="false">IF(LEFT(C195,3)="09S",LEFT(C195,14),C195)</f>
        <v>09S29QBR700216</v>
      </c>
      <c r="E195" s="9" t="str">
        <f aca="false">IF(LEFT(C195,3)="09S",MID(C195,15,5),"")</f>
        <v>N</v>
      </c>
      <c r="F195" s="9" t="n">
        <v>505069</v>
      </c>
      <c r="G195" s="3" t="s">
        <v>446</v>
      </c>
      <c r="H195" s="3" t="str">
        <f aca="false">IFERROR(INDEX(Sistema!$F$2:$F$421,MATCH(D195,Sistema!$G$2:$G$421,0)),"Não encontrado")</f>
        <v>Não encontrado</v>
      </c>
      <c r="I195" s="3" t="str">
        <f aca="false">IFERROR(INDEX(Sistema!$C$2:$C$421,MATCH(D195,Sistema!$G$2:$G$421,0)),"")</f>
        <v/>
      </c>
      <c r="J195" s="9" t="str">
        <f aca="false">IF(LEFT(C195,3)="09S",IFERROR(MID(INDEX(Sistema!$D$2:$D$421,MATCH(D195,Sistema!$G$2:$G$421,0)),15,5),""),"")</f>
        <v/>
      </c>
      <c r="K195" s="9" t="str">
        <f aca="false">IF(H195="Não encontrado","Não encontrado",IF(H195&lt;&gt;A195,"Local diferente",IF(AND(E195&lt;&gt;"",J195&lt;&gt;"",UPPER(E195)&lt;&gt;UPPER(J195)),"Letra final diferente","Confere")))</f>
        <v>Não encontrado</v>
      </c>
      <c r="L195" s="10" t="s">
        <v>537</v>
      </c>
      <c r="M195" s="10"/>
    </row>
    <row r="196" customFormat="false" ht="15" hidden="false" customHeight="false" outlineLevel="0" collapsed="false">
      <c r="A196" s="3" t="s">
        <v>16</v>
      </c>
      <c r="B196" s="9" t="n">
        <v>2</v>
      </c>
      <c r="C196" s="3" t="s">
        <v>538</v>
      </c>
      <c r="D196" s="3" t="str">
        <f aca="false">IF(LEFT(C196,3)="09S",LEFT(C196,14),C196)</f>
        <v>09S29QBR702201</v>
      </c>
      <c r="E196" s="9" t="str">
        <f aca="false">IF(LEFT(C196,3)="09S",MID(C196,15,5),"")</f>
        <v>T</v>
      </c>
      <c r="F196" s="9" t="n">
        <v>505198</v>
      </c>
      <c r="G196" s="3" t="s">
        <v>446</v>
      </c>
      <c r="H196" s="3" t="str">
        <f aca="false">IFERROR(INDEX(Sistema!$F$2:$F$421,MATCH(D196,Sistema!$G$2:$G$421,0)),"Não encontrado")</f>
        <v>Carrinho 08 - CINZA</v>
      </c>
      <c r="I196" s="3" t="str">
        <f aca="false">IFERROR(INDEX(Sistema!$C$2:$C$421,MATCH(D196,Sistema!$G$2:$G$421,0)),"")</f>
        <v>Samsung Chromebook 4 - 2021/Lote 1</v>
      </c>
      <c r="J196" s="9" t="str">
        <f aca="false">IF(LEFT(C196,3)="09S",IFERROR(MID(INDEX(Sistema!$D$2:$D$421,MATCH(D196,Sistema!$G$2:$G$421,0)),15,5),""),"")</f>
        <v/>
      </c>
      <c r="K196" s="9" t="str">
        <f aca="false">IF(H196="Não encontrado","Não encontrado",IF(H196&lt;&gt;A196,"Local diferente",IF(AND(E196&lt;&gt;"",J196&lt;&gt;"",UPPER(E196)&lt;&gt;UPPER(J196)),"Letra final diferente","Confere")))</f>
        <v>Confere</v>
      </c>
      <c r="L196" s="10"/>
      <c r="M196" s="10"/>
    </row>
    <row r="197" customFormat="false" ht="15" hidden="false" customHeight="false" outlineLevel="0" collapsed="false">
      <c r="A197" s="3" t="s">
        <v>16</v>
      </c>
      <c r="B197" s="9" t="n">
        <v>3</v>
      </c>
      <c r="C197" s="3" t="s">
        <v>539</v>
      </c>
      <c r="D197" s="3" t="str">
        <f aca="false">IF(LEFT(C197,3)="09S",LEFT(C197,14),C197)</f>
        <v>09S29QBR722837</v>
      </c>
      <c r="E197" s="9" t="str">
        <f aca="false">IF(LEFT(C197,3)="09S",MID(C197,15,5),"")</f>
        <v>N</v>
      </c>
      <c r="F197" s="9" t="n">
        <v>505235</v>
      </c>
      <c r="G197" s="3" t="s">
        <v>446</v>
      </c>
      <c r="H197" s="3" t="str">
        <f aca="false">IFERROR(INDEX(Sistema!$F$2:$F$421,MATCH(D197,Sistema!$G$2:$G$421,0)),"Não encontrado")</f>
        <v>Carrinho 08 - CINZA</v>
      </c>
      <c r="I197" s="3" t="str">
        <f aca="false">IFERROR(INDEX(Sistema!$C$2:$C$421,MATCH(D197,Sistema!$G$2:$G$421,0)),"")</f>
        <v>Samsung Chromebook 4 - 2021/Lote 1</v>
      </c>
      <c r="J197" s="9" t="str">
        <f aca="false">IF(LEFT(C197,3)="09S",IFERROR(MID(INDEX(Sistema!$D$2:$D$421,MATCH(D197,Sistema!$G$2:$G$421,0)),15,5),""),"")</f>
        <v/>
      </c>
      <c r="K197" s="9" t="str">
        <f aca="false">IF(H197="Não encontrado","Não encontrado",IF(H197&lt;&gt;A197,"Local diferente",IF(AND(E197&lt;&gt;"",J197&lt;&gt;"",UPPER(E197)&lt;&gt;UPPER(J197)),"Letra final diferente","Confere")))</f>
        <v>Confere</v>
      </c>
      <c r="L197" s="10"/>
      <c r="M197" s="10"/>
    </row>
    <row r="198" customFormat="false" ht="15" hidden="false" customHeight="false" outlineLevel="0" collapsed="false">
      <c r="A198" s="3" t="s">
        <v>16</v>
      </c>
      <c r="B198" s="9" t="n">
        <v>4</v>
      </c>
      <c r="C198" s="3" t="s">
        <v>540</v>
      </c>
      <c r="D198" s="3" t="str">
        <f aca="false">IF(LEFT(C198,3)="09S",LEFT(C198,14),C198)</f>
        <v>09S29QBR704305</v>
      </c>
      <c r="E198" s="9" t="str">
        <f aca="false">IF(LEFT(C198,3)="09S",MID(C198,15,5),"")</f>
        <v>X</v>
      </c>
      <c r="F198" s="9" t="n">
        <v>505068</v>
      </c>
      <c r="G198" s="3" t="s">
        <v>446</v>
      </c>
      <c r="H198" s="3" t="str">
        <f aca="false">IFERROR(INDEX(Sistema!$F$2:$F$421,MATCH(D198,Sistema!$G$2:$G$421,0)),"Não encontrado")</f>
        <v>Carrinho 08 - CINZA</v>
      </c>
      <c r="I198" s="3" t="str">
        <f aca="false">IFERROR(INDEX(Sistema!$C$2:$C$421,MATCH(D198,Sistema!$G$2:$G$421,0)),"")</f>
        <v>Samsung Chromebook 4 - 2021/Lote 1</v>
      </c>
      <c r="J198" s="9" t="str">
        <f aca="false">IF(LEFT(C198,3)="09S",IFERROR(MID(INDEX(Sistema!$D$2:$D$421,MATCH(D198,Sistema!$G$2:$G$421,0)),15,5),""),"")</f>
        <v/>
      </c>
      <c r="K198" s="9" t="str">
        <f aca="false">IF(H198="Não encontrado","Não encontrado",IF(H198&lt;&gt;A198,"Local diferente",IF(AND(E198&lt;&gt;"",J198&lt;&gt;"",UPPER(E198)&lt;&gt;UPPER(J198)),"Letra final diferente","Confere")))</f>
        <v>Confere</v>
      </c>
      <c r="L198" s="10"/>
      <c r="M198" s="10"/>
    </row>
    <row r="199" customFormat="false" ht="15" hidden="false" customHeight="false" outlineLevel="0" collapsed="false">
      <c r="A199" s="3" t="s">
        <v>16</v>
      </c>
      <c r="B199" s="9" t="n">
        <v>5</v>
      </c>
      <c r="C199" s="3" t="s">
        <v>541</v>
      </c>
      <c r="D199" s="3" t="str">
        <f aca="false">IF(LEFT(C199,3)="09S",LEFT(C199,14),C199)</f>
        <v>09S29QBR707691</v>
      </c>
      <c r="E199" s="9" t="str">
        <f aca="false">IF(LEFT(C199,3)="09S",MID(C199,15,5),"")</f>
        <v>L</v>
      </c>
      <c r="F199" s="9" t="n">
        <v>505300</v>
      </c>
      <c r="G199" s="3" t="s">
        <v>446</v>
      </c>
      <c r="H199" s="3" t="str">
        <f aca="false">IFERROR(INDEX(Sistema!$F$2:$F$421,MATCH(D199,Sistema!$G$2:$G$421,0)),"Não encontrado")</f>
        <v>Carrinho 08 - CINZA</v>
      </c>
      <c r="I199" s="3" t="str">
        <f aca="false">IFERROR(INDEX(Sistema!$C$2:$C$421,MATCH(D199,Sistema!$G$2:$G$421,0)),"")</f>
        <v>Samsung Chromebook 4 - 2021/Lote 1</v>
      </c>
      <c r="J199" s="9" t="str">
        <f aca="false">IF(LEFT(C199,3)="09S",IFERROR(MID(INDEX(Sistema!$D$2:$D$421,MATCH(D199,Sistema!$G$2:$G$421,0)),15,5),""),"")</f>
        <v/>
      </c>
      <c r="K199" s="9" t="str">
        <f aca="false">IF(H199="Não encontrado","Não encontrado",IF(H199&lt;&gt;A199,"Local diferente",IF(AND(E199&lt;&gt;"",J199&lt;&gt;"",UPPER(E199)&lt;&gt;UPPER(J199)),"Letra final diferente","Confere")))</f>
        <v>Confere</v>
      </c>
      <c r="L199" s="10"/>
      <c r="M199" s="10"/>
    </row>
    <row r="200" customFormat="false" ht="15" hidden="false" customHeight="false" outlineLevel="0" collapsed="false">
      <c r="A200" s="3" t="s">
        <v>16</v>
      </c>
      <c r="B200" s="9" t="n">
        <v>6</v>
      </c>
      <c r="C200" s="3" t="s">
        <v>542</v>
      </c>
      <c r="D200" s="3" t="str">
        <f aca="false">IF(LEFT(C200,3)="09S",LEFT(C200,14),C200)</f>
        <v>09S29QBR811429</v>
      </c>
      <c r="E200" s="9" t="str">
        <f aca="false">IF(LEFT(C200,3)="09S",MID(C200,15,5),"")</f>
        <v>P</v>
      </c>
      <c r="F200" s="9" t="n">
        <v>503772</v>
      </c>
      <c r="G200" s="3" t="s">
        <v>446</v>
      </c>
      <c r="H200" s="3" t="str">
        <f aca="false">IFERROR(INDEX(Sistema!$F$2:$F$421,MATCH(D200,Sistema!$G$2:$G$421,0)),"Não encontrado")</f>
        <v>Carrinho 08 - CINZA</v>
      </c>
      <c r="I200" s="3" t="str">
        <f aca="false">IFERROR(INDEX(Sistema!$C$2:$C$421,MATCH(D200,Sistema!$G$2:$G$421,0)),"")</f>
        <v>Samsung Chromebook 4 - 2021/Lote 1</v>
      </c>
      <c r="J200" s="9" t="str">
        <f aca="false">IF(LEFT(C200,3)="09S",IFERROR(MID(INDEX(Sistema!$D$2:$D$421,MATCH(D200,Sistema!$G$2:$G$421,0)),15,5),""),"")</f>
        <v/>
      </c>
      <c r="K200" s="9" t="str">
        <f aca="false">IF(H200="Não encontrado","Não encontrado",IF(H200&lt;&gt;A200,"Local diferente",IF(AND(E200&lt;&gt;"",J200&lt;&gt;"",UPPER(E200)&lt;&gt;UPPER(J200)),"Letra final diferente","Confere")))</f>
        <v>Confere</v>
      </c>
      <c r="L200" s="10"/>
      <c r="M200" s="10"/>
    </row>
    <row r="201" customFormat="false" ht="15" hidden="false" customHeight="false" outlineLevel="0" collapsed="false">
      <c r="A201" s="3" t="s">
        <v>16</v>
      </c>
      <c r="B201" s="9" t="n">
        <v>7</v>
      </c>
      <c r="C201" s="3" t="s">
        <v>543</v>
      </c>
      <c r="D201" s="3" t="str">
        <f aca="false">IF(LEFT(C201,3)="09S",LEFT(C201,14),C201)</f>
        <v>09S29QBR812564</v>
      </c>
      <c r="E201" s="9" t="str">
        <f aca="false">IF(LEFT(C201,3)="09S",MID(C201,15,5),"")</f>
        <v>Z</v>
      </c>
      <c r="F201" s="9" t="n">
        <v>503624</v>
      </c>
      <c r="G201" s="3" t="s">
        <v>446</v>
      </c>
      <c r="H201" s="3" t="str">
        <f aca="false">IFERROR(INDEX(Sistema!$F$2:$F$421,MATCH(D201,Sistema!$G$2:$G$421,0)),"Não encontrado")</f>
        <v>Carrinho 08 - CINZA</v>
      </c>
      <c r="I201" s="3" t="str">
        <f aca="false">IFERROR(INDEX(Sistema!$C$2:$C$421,MATCH(D201,Sistema!$G$2:$G$421,0)),"")</f>
        <v>Samsung Chromebook 4 - 2021/Lote 1</v>
      </c>
      <c r="J201" s="9" t="str">
        <f aca="false">IF(LEFT(C201,3)="09S",IFERROR(MID(INDEX(Sistema!$D$2:$D$421,MATCH(D201,Sistema!$G$2:$G$421,0)),15,5),""),"")</f>
        <v/>
      </c>
      <c r="K201" s="9" t="str">
        <f aca="false">IF(H201="Não encontrado","Não encontrado",IF(H201&lt;&gt;A201,"Local diferente",IF(AND(E201&lt;&gt;"",J201&lt;&gt;"",UPPER(E201)&lt;&gt;UPPER(J201)),"Letra final diferente","Confere")))</f>
        <v>Confere</v>
      </c>
      <c r="L201" s="10"/>
      <c r="M201" s="10"/>
    </row>
    <row r="202" customFormat="false" ht="26.85" hidden="false" customHeight="false" outlineLevel="0" collapsed="false">
      <c r="A202" s="3" t="s">
        <v>16</v>
      </c>
      <c r="B202" s="9" t="n">
        <v>8</v>
      </c>
      <c r="C202" s="3" t="s">
        <v>151</v>
      </c>
      <c r="D202" s="3" t="str">
        <f aca="false">IF(LEFT(C202,3)="09S",LEFT(C202,14),C202)</f>
        <v>09S29QBR011410</v>
      </c>
      <c r="E202" s="9" t="str">
        <f aca="false">IF(LEFT(C202,3)="09S",MID(C202,15,5),"")</f>
        <v>F</v>
      </c>
      <c r="F202" s="9" t="n">
        <v>503696</v>
      </c>
      <c r="G202" s="3" t="s">
        <v>446</v>
      </c>
      <c r="H202" s="3" t="str">
        <f aca="false">IFERROR(INDEX(Sistema!$F$2:$F$421,MATCH(D202,Sistema!$G$2:$G$421,0)),"Não encontrado")</f>
        <v>Não encontrado</v>
      </c>
      <c r="I202" s="3" t="str">
        <f aca="false">IFERROR(INDEX(Sistema!$C$2:$C$421,MATCH(D202,Sistema!$G$2:$G$421,0)),"")</f>
        <v/>
      </c>
      <c r="J202" s="9" t="str">
        <f aca="false">IF(LEFT(C202,3)="09S",IFERROR(MID(INDEX(Sistema!$D$2:$D$421,MATCH(D202,Sistema!$G$2:$G$421,0)),15,5),""),"")</f>
        <v/>
      </c>
      <c r="K202" s="9" t="str">
        <f aca="false">IF(H202="Não encontrado","Não encontrado",IF(H202&lt;&gt;A202,"Local diferente",IF(AND(E202&lt;&gt;"",J202&lt;&gt;"",UPPER(E202)&lt;&gt;UPPER(J202)),"Letra final diferente","Confere")))</f>
        <v>Não encontrado</v>
      </c>
      <c r="L202" s="10" t="s">
        <v>544</v>
      </c>
      <c r="M202" s="10"/>
    </row>
    <row r="203" customFormat="false" ht="15" hidden="false" customHeight="false" outlineLevel="0" collapsed="false">
      <c r="A203" s="3" t="s">
        <v>16</v>
      </c>
      <c r="B203" s="9" t="n">
        <v>9</v>
      </c>
      <c r="C203" s="3" t="s">
        <v>545</v>
      </c>
      <c r="D203" s="3" t="str">
        <f aca="false">IF(LEFT(C203,3)="09S",LEFT(C203,14),C203)</f>
        <v>09S29QBR722644</v>
      </c>
      <c r="E203" s="9" t="str">
        <f aca="false">IF(LEFT(C203,3)="09S",MID(C203,15,5),"")</f>
        <v>N</v>
      </c>
      <c r="F203" s="9" t="n">
        <v>505101</v>
      </c>
      <c r="G203" s="3" t="s">
        <v>446</v>
      </c>
      <c r="H203" s="3" t="str">
        <f aca="false">IFERROR(INDEX(Sistema!$F$2:$F$421,MATCH(D203,Sistema!$G$2:$G$421,0)),"Não encontrado")</f>
        <v>Carrinho 08 - CINZA</v>
      </c>
      <c r="I203" s="3" t="str">
        <f aca="false">IFERROR(INDEX(Sistema!$C$2:$C$421,MATCH(D203,Sistema!$G$2:$G$421,0)),"")</f>
        <v>Samsung Chromebook 4 - 2021/Lote 1</v>
      </c>
      <c r="J203" s="9" t="str">
        <f aca="false">IF(LEFT(C203,3)="09S",IFERROR(MID(INDEX(Sistema!$D$2:$D$421,MATCH(D203,Sistema!$G$2:$G$421,0)),15,5),""),"")</f>
        <v/>
      </c>
      <c r="K203" s="9" t="str">
        <f aca="false">IF(H203="Não encontrado","Não encontrado",IF(H203&lt;&gt;A203,"Local diferente",IF(AND(E203&lt;&gt;"",J203&lt;&gt;"",UPPER(E203)&lt;&gt;UPPER(J203)),"Letra final diferente","Confere")))</f>
        <v>Confere</v>
      </c>
      <c r="L203" s="10"/>
      <c r="M203" s="10"/>
    </row>
    <row r="204" customFormat="false" ht="39.55" hidden="false" customHeight="false" outlineLevel="0" collapsed="false">
      <c r="A204" s="3" t="s">
        <v>16</v>
      </c>
      <c r="B204" s="9" t="n">
        <v>10</v>
      </c>
      <c r="C204" s="3" t="s">
        <v>155</v>
      </c>
      <c r="D204" s="3" t="str">
        <f aca="false">IF(LEFT(C204,3)="09S",LEFT(C204,14),C204)</f>
        <v>09S29QBR812708</v>
      </c>
      <c r="E204" s="9" t="str">
        <f aca="false">IF(LEFT(C204,3)="09S",MID(C204,15,5),"")</f>
        <v>M</v>
      </c>
      <c r="F204" s="9" t="n">
        <v>503623</v>
      </c>
      <c r="G204" s="3" t="s">
        <v>446</v>
      </c>
      <c r="H204" s="3" t="str">
        <f aca="false">IFERROR(INDEX(Sistema!$F$2:$F$421,MATCH(D204,Sistema!$G$2:$G$421,0)),"Não encontrado")</f>
        <v>Carrinho 11 - PRETO</v>
      </c>
      <c r="I204" s="3" t="str">
        <f aca="false">IFERROR(INDEX(Sistema!$C$2:$C$421,MATCH(D204,Sistema!$G$2:$G$421,0)),"")</f>
        <v>Samsung Chromebook 4 - 2021/Lote 1</v>
      </c>
      <c r="J204" s="9" t="str">
        <f aca="false">IF(LEFT(C204,3)="09S",IFERROR(MID(INDEX(Sistema!$D$2:$D$421,MATCH(D204,Sistema!$G$2:$G$421,0)),15,5),""),"")</f>
        <v/>
      </c>
      <c r="K204" s="9" t="str">
        <f aca="false">IF(H204="Não encontrado","Não encontrado",IF(H204&lt;&gt;A204,"Local diferente",IF(AND(E204&lt;&gt;"",J204&lt;&gt;"",UPPER(E204)&lt;&gt;UPPER(J204)),"Letra final diferente","Confere")))</f>
        <v>Local diferente</v>
      </c>
      <c r="L204" s="10" t="s">
        <v>546</v>
      </c>
      <c r="M204" s="10"/>
    </row>
    <row r="205" customFormat="false" ht="15" hidden="false" customHeight="false" outlineLevel="0" collapsed="false">
      <c r="A205" s="3" t="s">
        <v>16</v>
      </c>
      <c r="B205" s="9" t="n">
        <v>11</v>
      </c>
      <c r="C205" s="3" t="s">
        <v>547</v>
      </c>
      <c r="D205" s="3" t="str">
        <f aca="false">IF(LEFT(C205,3)="09S",LEFT(C205,14),C205)</f>
        <v>09S29QBR711518</v>
      </c>
      <c r="E205" s="9" t="str">
        <f aca="false">IF(LEFT(C205,3)="09S",MID(C205,15,5),"")</f>
        <v>X</v>
      </c>
      <c r="F205" s="9" t="n">
        <v>503735</v>
      </c>
      <c r="G205" s="3" t="s">
        <v>446</v>
      </c>
      <c r="H205" s="3" t="str">
        <f aca="false">IFERROR(INDEX(Sistema!$F$2:$F$421,MATCH(D205,Sistema!$G$2:$G$421,0)),"Não encontrado")</f>
        <v>Carrinho 08 - CINZA</v>
      </c>
      <c r="I205" s="3" t="str">
        <f aca="false">IFERROR(INDEX(Sistema!$C$2:$C$421,MATCH(D205,Sistema!$G$2:$G$421,0)),"")</f>
        <v>Samsung Chromebook 4 - 2021/Lote 1</v>
      </c>
      <c r="J205" s="9" t="str">
        <f aca="false">IF(LEFT(C205,3)="09S",IFERROR(MID(INDEX(Sistema!$D$2:$D$421,MATCH(D205,Sistema!$G$2:$G$421,0)),15,5),""),"")</f>
        <v/>
      </c>
      <c r="K205" s="9" t="str">
        <f aca="false">IF(H205="Não encontrado","Não encontrado",IF(H205&lt;&gt;A205,"Local diferente",IF(AND(E205&lt;&gt;"",J205&lt;&gt;"",UPPER(E205)&lt;&gt;UPPER(J205)),"Letra final diferente","Confere")))</f>
        <v>Confere</v>
      </c>
      <c r="L205" s="10"/>
      <c r="M205" s="10"/>
    </row>
    <row r="206" customFormat="false" ht="15" hidden="false" customHeight="false" outlineLevel="0" collapsed="false">
      <c r="A206" s="3" t="s">
        <v>16</v>
      </c>
      <c r="B206" s="9" t="n">
        <v>12</v>
      </c>
      <c r="C206" s="3" t="s">
        <v>548</v>
      </c>
      <c r="D206" s="3" t="str">
        <f aca="false">IF(LEFT(C206,3)="09S",LEFT(C206,14),C206)</f>
        <v>09S29QBR811163</v>
      </c>
      <c r="E206" s="9" t="str">
        <f aca="false">IF(LEFT(C206,3)="09S",MID(C206,15,5),"")</f>
        <v>Y</v>
      </c>
      <c r="F206" s="9" t="n">
        <v>503638</v>
      </c>
      <c r="G206" s="3" t="s">
        <v>446</v>
      </c>
      <c r="H206" s="3" t="str">
        <f aca="false">IFERROR(INDEX(Sistema!$F$2:$F$421,MATCH(D206,Sistema!$G$2:$G$421,0)),"Não encontrado")</f>
        <v>Carrinho 08 - CINZA</v>
      </c>
      <c r="I206" s="3" t="str">
        <f aca="false">IFERROR(INDEX(Sistema!$C$2:$C$421,MATCH(D206,Sistema!$G$2:$G$421,0)),"")</f>
        <v>Samsung Chromebook 4 - 2021/Lote 1</v>
      </c>
      <c r="J206" s="9" t="str">
        <f aca="false">IF(LEFT(C206,3)="09S",IFERROR(MID(INDEX(Sistema!$D$2:$D$421,MATCH(D206,Sistema!$G$2:$G$421,0)),15,5),""),"")</f>
        <v/>
      </c>
      <c r="K206" s="9" t="str">
        <f aca="false">IF(H206="Não encontrado","Não encontrado",IF(H206&lt;&gt;A206,"Local diferente",IF(AND(E206&lt;&gt;"",J206&lt;&gt;"",UPPER(E206)&lt;&gt;UPPER(J206)),"Letra final diferente","Confere")))</f>
        <v>Confere</v>
      </c>
      <c r="L206" s="10"/>
      <c r="M206" s="10"/>
    </row>
    <row r="207" customFormat="false" ht="15" hidden="false" customHeight="false" outlineLevel="0" collapsed="false">
      <c r="A207" s="3" t="s">
        <v>16</v>
      </c>
      <c r="B207" s="9" t="n">
        <v>13</v>
      </c>
      <c r="C207" s="3" t="s">
        <v>549</v>
      </c>
      <c r="D207" s="3" t="str">
        <f aca="false">IF(LEFT(C207,3)="09S",LEFT(C207,14),C207)</f>
        <v>09S29QBR723253</v>
      </c>
      <c r="E207" s="9" t="str">
        <f aca="false">IF(LEFT(C207,3)="09S",MID(C207,15,5),"")</f>
        <v>B</v>
      </c>
      <c r="F207" s="9" t="n">
        <v>505064</v>
      </c>
      <c r="G207" s="3" t="s">
        <v>446</v>
      </c>
      <c r="H207" s="3" t="str">
        <f aca="false">IFERROR(INDEX(Sistema!$F$2:$F$421,MATCH(D207,Sistema!$G$2:$G$421,0)),"Não encontrado")</f>
        <v>Carrinho 08 - CINZA</v>
      </c>
      <c r="I207" s="3" t="str">
        <f aca="false">IFERROR(INDEX(Sistema!$C$2:$C$421,MATCH(D207,Sistema!$G$2:$G$421,0)),"")</f>
        <v>Samsung Chromebook 4 - 2021/Lote 1</v>
      </c>
      <c r="J207" s="9" t="str">
        <f aca="false">IF(LEFT(C207,3)="09S",IFERROR(MID(INDEX(Sistema!$D$2:$D$421,MATCH(D207,Sistema!$G$2:$G$421,0)),15,5),""),"")</f>
        <v/>
      </c>
      <c r="K207" s="9" t="str">
        <f aca="false">IF(H207="Não encontrado","Não encontrado",IF(H207&lt;&gt;A207,"Local diferente",IF(AND(E207&lt;&gt;"",J207&lt;&gt;"",UPPER(E207)&lt;&gt;UPPER(J207)),"Letra final diferente","Confere")))</f>
        <v>Confere</v>
      </c>
      <c r="L207" s="10"/>
      <c r="M207" s="10"/>
    </row>
    <row r="208" customFormat="false" ht="15" hidden="false" customHeight="false" outlineLevel="0" collapsed="false">
      <c r="A208" s="3" t="s">
        <v>16</v>
      </c>
      <c r="B208" s="9" t="n">
        <v>14</v>
      </c>
      <c r="C208" s="3" t="s">
        <v>550</v>
      </c>
      <c r="D208" s="3" t="str">
        <f aca="false">IF(LEFT(C208,3)="09S",LEFT(C208,14),C208)</f>
        <v>09S29QBR703384</v>
      </c>
      <c r="E208" s="9" t="str">
        <f aca="false">IF(LEFT(C208,3)="09S",MID(C208,15,5),"")</f>
        <v>N</v>
      </c>
      <c r="F208" s="9" t="n">
        <v>505313</v>
      </c>
      <c r="G208" s="3" t="s">
        <v>446</v>
      </c>
      <c r="H208" s="3" t="str">
        <f aca="false">IFERROR(INDEX(Sistema!$F$2:$F$421,MATCH(D208,Sistema!$G$2:$G$421,0)),"Não encontrado")</f>
        <v>Carrinho 08 - CINZA</v>
      </c>
      <c r="I208" s="3" t="str">
        <f aca="false">IFERROR(INDEX(Sistema!$C$2:$C$421,MATCH(D208,Sistema!$G$2:$G$421,0)),"")</f>
        <v>Samsung Chromebook 4 - 2021/Lote 1</v>
      </c>
      <c r="J208" s="9" t="str">
        <f aca="false">IF(LEFT(C208,3)="09S",IFERROR(MID(INDEX(Sistema!$D$2:$D$421,MATCH(D208,Sistema!$G$2:$G$421,0)),15,5),""),"")</f>
        <v/>
      </c>
      <c r="K208" s="9" t="str">
        <f aca="false">IF(H208="Não encontrado","Não encontrado",IF(H208&lt;&gt;A208,"Local diferente",IF(AND(E208&lt;&gt;"",J208&lt;&gt;"",UPPER(E208)&lt;&gt;UPPER(J208)),"Letra final diferente","Confere")))</f>
        <v>Confere</v>
      </c>
      <c r="L208" s="10"/>
      <c r="M208" s="10"/>
    </row>
    <row r="209" customFormat="false" ht="15" hidden="false" customHeight="false" outlineLevel="0" collapsed="false">
      <c r="A209" s="3" t="s">
        <v>16</v>
      </c>
      <c r="B209" s="9" t="n">
        <v>15</v>
      </c>
      <c r="C209" s="3" t="s">
        <v>551</v>
      </c>
      <c r="D209" s="3" t="str">
        <f aca="false">IF(LEFT(C209,3)="09S",LEFT(C209,14),C209)</f>
        <v>09S29QBR812504</v>
      </c>
      <c r="E209" s="9" t="str">
        <f aca="false">IF(LEFT(C209,3)="09S",MID(C209,15,5),"")</f>
        <v>D</v>
      </c>
      <c r="F209" s="9" t="n">
        <v>503629</v>
      </c>
      <c r="G209" s="3" t="s">
        <v>446</v>
      </c>
      <c r="H209" s="3" t="str">
        <f aca="false">IFERROR(INDEX(Sistema!$F$2:$F$421,MATCH(D209,Sistema!$G$2:$G$421,0)),"Não encontrado")</f>
        <v>Carrinho 08 - CINZA</v>
      </c>
      <c r="I209" s="3" t="str">
        <f aca="false">IFERROR(INDEX(Sistema!$C$2:$C$421,MATCH(D209,Sistema!$G$2:$G$421,0)),"")</f>
        <v>Samsung Chromebook 4 - 2021/Lote 1</v>
      </c>
      <c r="J209" s="9" t="str">
        <f aca="false">IF(LEFT(C209,3)="09S",IFERROR(MID(INDEX(Sistema!$D$2:$D$421,MATCH(D209,Sistema!$G$2:$G$421,0)),15,5),""),"")</f>
        <v/>
      </c>
      <c r="K209" s="9" t="str">
        <f aca="false">IF(H209="Não encontrado","Não encontrado",IF(H209&lt;&gt;A209,"Local diferente",IF(AND(E209&lt;&gt;"",J209&lt;&gt;"",UPPER(E209)&lt;&gt;UPPER(J209)),"Letra final diferente","Confere")))</f>
        <v>Confere</v>
      </c>
      <c r="L209" s="10"/>
      <c r="M209" s="10"/>
    </row>
    <row r="210" customFormat="false" ht="15" hidden="false" customHeight="false" outlineLevel="0" collapsed="false">
      <c r="A210" s="3" t="s">
        <v>16</v>
      </c>
      <c r="B210" s="9" t="n">
        <v>16</v>
      </c>
      <c r="C210" s="3" t="s">
        <v>552</v>
      </c>
      <c r="D210" s="3" t="str">
        <f aca="false">IF(LEFT(C210,3)="09S",LEFT(C210,14),C210)</f>
        <v>09S29QBR718871</v>
      </c>
      <c r="E210" s="9" t="str">
        <f aca="false">IF(LEFT(C210,3)="09S",MID(C210,15,5),"")</f>
        <v>B</v>
      </c>
      <c r="F210" s="9" t="n">
        <v>505299</v>
      </c>
      <c r="G210" s="3" t="s">
        <v>446</v>
      </c>
      <c r="H210" s="3" t="str">
        <f aca="false">IFERROR(INDEX(Sistema!$F$2:$F$421,MATCH(D210,Sistema!$G$2:$G$421,0)),"Não encontrado")</f>
        <v>Carrinho 08 - CINZA</v>
      </c>
      <c r="I210" s="3" t="str">
        <f aca="false">IFERROR(INDEX(Sistema!$C$2:$C$421,MATCH(D210,Sistema!$G$2:$G$421,0)),"")</f>
        <v>Samsung Chromebook 4 - 2021/Lote 1</v>
      </c>
      <c r="J210" s="9" t="str">
        <f aca="false">IF(LEFT(C210,3)="09S",IFERROR(MID(INDEX(Sistema!$D$2:$D$421,MATCH(D210,Sistema!$G$2:$G$421,0)),15,5),""),"")</f>
        <v/>
      </c>
      <c r="K210" s="9" t="str">
        <f aca="false">IF(H210="Não encontrado","Não encontrado",IF(H210&lt;&gt;A210,"Local diferente",IF(AND(E210&lt;&gt;"",J210&lt;&gt;"",UPPER(E210)&lt;&gt;UPPER(J210)),"Letra final diferente","Confere")))</f>
        <v>Confere</v>
      </c>
      <c r="L210" s="10"/>
      <c r="M210" s="10"/>
    </row>
    <row r="211" customFormat="false" ht="15" hidden="false" customHeight="false" outlineLevel="0" collapsed="false">
      <c r="A211" s="3" t="s">
        <v>16</v>
      </c>
      <c r="B211" s="9" t="n">
        <v>17</v>
      </c>
      <c r="C211" s="3" t="s">
        <v>553</v>
      </c>
      <c r="D211" s="3" t="str">
        <f aca="false">IF(LEFT(C211,3)="09S",LEFT(C211,14),C211)</f>
        <v>09S29QBR702144</v>
      </c>
      <c r="E211" s="9" t="str">
        <f aca="false">IF(LEFT(C211,3)="09S",MID(C211,15,5),"")</f>
        <v>K</v>
      </c>
      <c r="F211" s="9" t="n">
        <v>505051</v>
      </c>
      <c r="G211" s="3" t="s">
        <v>446</v>
      </c>
      <c r="H211" s="3" t="str">
        <f aca="false">IFERROR(INDEX(Sistema!$F$2:$F$421,MATCH(D211,Sistema!$G$2:$G$421,0)),"Não encontrado")</f>
        <v>Carrinho 08 - CINZA</v>
      </c>
      <c r="I211" s="3" t="str">
        <f aca="false">IFERROR(INDEX(Sistema!$C$2:$C$421,MATCH(D211,Sistema!$G$2:$G$421,0)),"")</f>
        <v>Samsung Chromebook 4 - 2021/Lote 1</v>
      </c>
      <c r="J211" s="9" t="str">
        <f aca="false">IF(LEFT(C211,3)="09S",IFERROR(MID(INDEX(Sistema!$D$2:$D$421,MATCH(D211,Sistema!$G$2:$G$421,0)),15,5),""),"")</f>
        <v/>
      </c>
      <c r="K211" s="9" t="str">
        <f aca="false">IF(H211="Não encontrado","Não encontrado",IF(H211&lt;&gt;A211,"Local diferente",IF(AND(E211&lt;&gt;"",J211&lt;&gt;"",UPPER(E211)&lt;&gt;UPPER(J211)),"Letra final diferente","Confere")))</f>
        <v>Confere</v>
      </c>
      <c r="L211" s="10"/>
      <c r="M211" s="10"/>
    </row>
    <row r="212" customFormat="false" ht="15" hidden="false" customHeight="false" outlineLevel="0" collapsed="false">
      <c r="A212" s="3" t="s">
        <v>16</v>
      </c>
      <c r="B212" s="9" t="n">
        <v>18</v>
      </c>
      <c r="C212" s="3" t="s">
        <v>554</v>
      </c>
      <c r="D212" s="3" t="str">
        <f aca="false">IF(LEFT(C212,3)="09S",LEFT(C212,14),C212)</f>
        <v>09S29QBR707648</v>
      </c>
      <c r="E212" s="9" t="str">
        <f aca="false">IF(LEFT(C212,3)="09S",MID(C212,15,5),"")</f>
        <v>V</v>
      </c>
      <c r="F212" s="9" t="n">
        <v>503627</v>
      </c>
      <c r="G212" s="3" t="s">
        <v>446</v>
      </c>
      <c r="H212" s="3" t="str">
        <f aca="false">IFERROR(INDEX(Sistema!$F$2:$F$421,MATCH(D212,Sistema!$G$2:$G$421,0)),"Não encontrado")</f>
        <v>Carrinho 08 - CINZA</v>
      </c>
      <c r="I212" s="3" t="str">
        <f aca="false">IFERROR(INDEX(Sistema!$C$2:$C$421,MATCH(D212,Sistema!$G$2:$G$421,0)),"")</f>
        <v>Samsung Chromebook 4 - 2021/Lote 1</v>
      </c>
      <c r="J212" s="9" t="str">
        <f aca="false">IF(LEFT(C212,3)="09S",IFERROR(MID(INDEX(Sistema!$D$2:$D$421,MATCH(D212,Sistema!$G$2:$G$421,0)),15,5),""),"")</f>
        <v/>
      </c>
      <c r="K212" s="9" t="str">
        <f aca="false">IF(H212="Não encontrado","Não encontrado",IF(H212&lt;&gt;A212,"Local diferente",IF(AND(E212&lt;&gt;"",J212&lt;&gt;"",UPPER(E212)&lt;&gt;UPPER(J212)),"Letra final diferente","Confere")))</f>
        <v>Confere</v>
      </c>
      <c r="L212" s="10"/>
      <c r="M212" s="10"/>
    </row>
    <row r="213" customFormat="false" ht="15" hidden="false" customHeight="false" outlineLevel="0" collapsed="false">
      <c r="A213" s="3" t="s">
        <v>16</v>
      </c>
      <c r="B213" s="9" t="n">
        <v>19</v>
      </c>
      <c r="C213" s="3" t="s">
        <v>555</v>
      </c>
      <c r="D213" s="3" t="str">
        <f aca="false">IF(LEFT(C213,3)="09S",LEFT(C213,14),C213)</f>
        <v>09S29QBR702121</v>
      </c>
      <c r="E213" s="9" t="str">
        <f aca="false">IF(LEFT(C213,3)="09S",MID(C213,15,5),"")</f>
        <v>B</v>
      </c>
      <c r="F213" s="9" t="n">
        <v>505204</v>
      </c>
      <c r="G213" s="3" t="s">
        <v>446</v>
      </c>
      <c r="H213" s="3" t="str">
        <f aca="false">IFERROR(INDEX(Sistema!$F$2:$F$421,MATCH(D213,Sistema!$G$2:$G$421,0)),"Não encontrado")</f>
        <v>Carrinho 08 - CINZA</v>
      </c>
      <c r="I213" s="3" t="str">
        <f aca="false">IFERROR(INDEX(Sistema!$C$2:$C$421,MATCH(D213,Sistema!$G$2:$G$421,0)),"")</f>
        <v>Samsung Chromebook 4 - 2021/Lote 1</v>
      </c>
      <c r="J213" s="9" t="str">
        <f aca="false">IF(LEFT(C213,3)="09S",IFERROR(MID(INDEX(Sistema!$D$2:$D$421,MATCH(D213,Sistema!$G$2:$G$421,0)),15,5),""),"")</f>
        <v/>
      </c>
      <c r="K213" s="9" t="str">
        <f aca="false">IF(H213="Não encontrado","Não encontrado",IF(H213&lt;&gt;A213,"Local diferente",IF(AND(E213&lt;&gt;"",J213&lt;&gt;"",UPPER(E213)&lt;&gt;UPPER(J213)),"Letra final diferente","Confere")))</f>
        <v>Confere</v>
      </c>
      <c r="L213" s="10"/>
      <c r="M213" s="10"/>
    </row>
    <row r="214" customFormat="false" ht="15" hidden="false" customHeight="false" outlineLevel="0" collapsed="false">
      <c r="A214" s="3" t="s">
        <v>16</v>
      </c>
      <c r="B214" s="9" t="n">
        <v>20</v>
      </c>
      <c r="C214" s="3" t="s">
        <v>556</v>
      </c>
      <c r="D214" s="3" t="str">
        <f aca="false">IF(LEFT(C214,3)="09S",LEFT(C214,14),C214)</f>
        <v>09S29QBR700557</v>
      </c>
      <c r="E214" s="9" t="str">
        <f aca="false">IF(LEFT(C214,3)="09S",MID(C214,15,5),"")</f>
        <v>Y</v>
      </c>
      <c r="F214" s="9" t="n">
        <v>505199</v>
      </c>
      <c r="G214" s="3" t="s">
        <v>446</v>
      </c>
      <c r="H214" s="3" t="str">
        <f aca="false">IFERROR(INDEX(Sistema!$F$2:$F$421,MATCH(D214,Sistema!$G$2:$G$421,0)),"Não encontrado")</f>
        <v>Carrinho 08 - CINZA</v>
      </c>
      <c r="I214" s="3" t="str">
        <f aca="false">IFERROR(INDEX(Sistema!$C$2:$C$421,MATCH(D214,Sistema!$G$2:$G$421,0)),"")</f>
        <v>Samsung Chromebook 4 - 2021/Lote 1</v>
      </c>
      <c r="J214" s="9" t="str">
        <f aca="false">IF(LEFT(C214,3)="09S",IFERROR(MID(INDEX(Sistema!$D$2:$D$421,MATCH(D214,Sistema!$G$2:$G$421,0)),15,5),""),"")</f>
        <v/>
      </c>
      <c r="K214" s="9" t="str">
        <f aca="false">IF(H214="Não encontrado","Não encontrado",IF(H214&lt;&gt;A214,"Local diferente",IF(AND(E214&lt;&gt;"",J214&lt;&gt;"",UPPER(E214)&lt;&gt;UPPER(J214)),"Letra final diferente","Confere")))</f>
        <v>Confere</v>
      </c>
      <c r="L214" s="10"/>
      <c r="M214" s="10"/>
    </row>
    <row r="215" customFormat="false" ht="15" hidden="false" customHeight="false" outlineLevel="0" collapsed="false">
      <c r="A215" s="3" t="s">
        <v>16</v>
      </c>
      <c r="B215" s="9" t="n">
        <v>21</v>
      </c>
      <c r="C215" s="3" t="s">
        <v>557</v>
      </c>
      <c r="D215" s="3" t="str">
        <f aca="false">IF(LEFT(C215,3)="09S",LEFT(C215,14),C215)</f>
        <v>09S29QBR809552</v>
      </c>
      <c r="E215" s="9" t="str">
        <f aca="false">IF(LEFT(C215,3)="09S",MID(C215,15,5),"")</f>
        <v>J</v>
      </c>
      <c r="F215" s="9" t="n">
        <v>505174</v>
      </c>
      <c r="G215" s="3" t="s">
        <v>446</v>
      </c>
      <c r="H215" s="3" t="str">
        <f aca="false">IFERROR(INDEX(Sistema!$F$2:$F$421,MATCH(D215,Sistema!$G$2:$G$421,0)),"Não encontrado")</f>
        <v>Carrinho 08 - CINZA</v>
      </c>
      <c r="I215" s="3" t="str">
        <f aca="false">IFERROR(INDEX(Sistema!$C$2:$C$421,MATCH(D215,Sistema!$G$2:$G$421,0)),"")</f>
        <v>Samsung Chromebook 4 - 2021/Lote 1</v>
      </c>
      <c r="J215" s="9" t="str">
        <f aca="false">IF(LEFT(C215,3)="09S",IFERROR(MID(INDEX(Sistema!$D$2:$D$421,MATCH(D215,Sistema!$G$2:$G$421,0)),15,5),""),"")</f>
        <v/>
      </c>
      <c r="K215" s="9" t="str">
        <f aca="false">IF(H215="Não encontrado","Não encontrado",IF(H215&lt;&gt;A215,"Local diferente",IF(AND(E215&lt;&gt;"",J215&lt;&gt;"",UPPER(E215)&lt;&gt;UPPER(J215)),"Letra final diferente","Confere")))</f>
        <v>Confere</v>
      </c>
      <c r="L215" s="10"/>
      <c r="M215" s="10"/>
    </row>
    <row r="216" customFormat="false" ht="15" hidden="false" customHeight="false" outlineLevel="0" collapsed="false">
      <c r="A216" s="3" t="s">
        <v>16</v>
      </c>
      <c r="B216" s="9" t="n">
        <v>22</v>
      </c>
      <c r="C216" s="3" t="s">
        <v>558</v>
      </c>
      <c r="D216" s="3" t="str">
        <f aca="false">IF(LEFT(C216,3)="09S",LEFT(C216,14),C216)</f>
        <v>09S29QBR712386</v>
      </c>
      <c r="E216" s="9" t="str">
        <f aca="false">IF(LEFT(C216,3)="09S",MID(C216,15,5),"")</f>
        <v>K</v>
      </c>
      <c r="F216" s="9" t="n">
        <v>503609</v>
      </c>
      <c r="G216" s="3" t="s">
        <v>446</v>
      </c>
      <c r="H216" s="3" t="str">
        <f aca="false">IFERROR(INDEX(Sistema!$F$2:$F$421,MATCH(D216,Sistema!$G$2:$G$421,0)),"Não encontrado")</f>
        <v>Carrinho 08 - CINZA</v>
      </c>
      <c r="I216" s="3" t="str">
        <f aca="false">IFERROR(INDEX(Sistema!$C$2:$C$421,MATCH(D216,Sistema!$G$2:$G$421,0)),"")</f>
        <v>Samsung Chromebook 4 - 2021/Lote 1</v>
      </c>
      <c r="J216" s="9" t="str">
        <f aca="false">IF(LEFT(C216,3)="09S",IFERROR(MID(INDEX(Sistema!$D$2:$D$421,MATCH(D216,Sistema!$G$2:$G$421,0)),15,5),""),"")</f>
        <v/>
      </c>
      <c r="K216" s="9" t="str">
        <f aca="false">IF(H216="Não encontrado","Não encontrado",IF(H216&lt;&gt;A216,"Local diferente",IF(AND(E216&lt;&gt;"",J216&lt;&gt;"",UPPER(E216)&lt;&gt;UPPER(J216)),"Letra final diferente","Confere")))</f>
        <v>Confere</v>
      </c>
      <c r="L216" s="10"/>
      <c r="M216" s="10"/>
    </row>
    <row r="217" customFormat="false" ht="15" hidden="false" customHeight="false" outlineLevel="0" collapsed="false">
      <c r="A217" s="3" t="s">
        <v>16</v>
      </c>
      <c r="B217" s="9" t="n">
        <v>23</v>
      </c>
      <c r="C217" s="3" t="s">
        <v>559</v>
      </c>
      <c r="D217" s="3" t="str">
        <f aca="false">IF(LEFT(C217,3)="09S",LEFT(C217,14),C217)</f>
        <v>09S29QBR722676</v>
      </c>
      <c r="E217" s="9" t="str">
        <f aca="false">IF(LEFT(C217,3)="09S",MID(C217,15,5),"")</f>
        <v>A</v>
      </c>
      <c r="F217" s="9" t="n">
        <v>505166</v>
      </c>
      <c r="G217" s="3" t="s">
        <v>446</v>
      </c>
      <c r="H217" s="3" t="str">
        <f aca="false">IFERROR(INDEX(Sistema!$F$2:$F$421,MATCH(D217,Sistema!$G$2:$G$421,0)),"Não encontrado")</f>
        <v>Carrinho 08 - CINZA</v>
      </c>
      <c r="I217" s="3" t="str">
        <f aca="false">IFERROR(INDEX(Sistema!$C$2:$C$421,MATCH(D217,Sistema!$G$2:$G$421,0)),"")</f>
        <v>Samsung Chromebook 4 - 2021/Lote 1</v>
      </c>
      <c r="J217" s="9" t="str">
        <f aca="false">IF(LEFT(C217,3)="09S",IFERROR(MID(INDEX(Sistema!$D$2:$D$421,MATCH(D217,Sistema!$G$2:$G$421,0)),15,5),""),"")</f>
        <v/>
      </c>
      <c r="K217" s="9" t="str">
        <f aca="false">IF(H217="Não encontrado","Não encontrado",IF(H217&lt;&gt;A217,"Local diferente",IF(AND(E217&lt;&gt;"",J217&lt;&gt;"",UPPER(E217)&lt;&gt;UPPER(J217)),"Letra final diferente","Confere")))</f>
        <v>Confere</v>
      </c>
      <c r="L217" s="10"/>
      <c r="M217" s="10"/>
    </row>
    <row r="218" customFormat="false" ht="15" hidden="false" customHeight="false" outlineLevel="0" collapsed="false">
      <c r="A218" s="3" t="s">
        <v>16</v>
      </c>
      <c r="B218" s="9" t="n">
        <v>24</v>
      </c>
      <c r="C218" s="3" t="s">
        <v>560</v>
      </c>
      <c r="D218" s="3" t="str">
        <f aca="false">IF(LEFT(C218,3)="09S",LEFT(C218,14),C218)</f>
        <v>09S29QBR722677</v>
      </c>
      <c r="E218" s="9" t="str">
        <f aca="false">IF(LEFT(C218,3)="09S",MID(C218,15,5),"")</f>
        <v>F</v>
      </c>
      <c r="F218" s="9" t="n">
        <v>503637</v>
      </c>
      <c r="G218" s="3" t="s">
        <v>446</v>
      </c>
      <c r="H218" s="3" t="str">
        <f aca="false">IFERROR(INDEX(Sistema!$F$2:$F$421,MATCH(D218,Sistema!$G$2:$G$421,0)),"Não encontrado")</f>
        <v>Carrinho 08 - CINZA</v>
      </c>
      <c r="I218" s="3" t="str">
        <f aca="false">IFERROR(INDEX(Sistema!$C$2:$C$421,MATCH(D218,Sistema!$G$2:$G$421,0)),"")</f>
        <v>Samsung Chromebook 4 - 2021/Lote 1</v>
      </c>
      <c r="J218" s="9" t="str">
        <f aca="false">IF(LEFT(C218,3)="09S",IFERROR(MID(INDEX(Sistema!$D$2:$D$421,MATCH(D218,Sistema!$G$2:$G$421,0)),15,5),""),"")</f>
        <v/>
      </c>
      <c r="K218" s="9" t="str">
        <f aca="false">IF(H218="Não encontrado","Não encontrado",IF(H218&lt;&gt;A218,"Local diferente",IF(AND(E218&lt;&gt;"",J218&lt;&gt;"",UPPER(E218)&lt;&gt;UPPER(J218)),"Letra final diferente","Confere")))</f>
        <v>Confere</v>
      </c>
      <c r="L218" s="10"/>
      <c r="M218" s="10"/>
    </row>
    <row r="219" customFormat="false" ht="15" hidden="false" customHeight="false" outlineLevel="0" collapsed="false">
      <c r="A219" s="3" t="s">
        <v>16</v>
      </c>
      <c r="B219" s="9" t="n">
        <v>25</v>
      </c>
      <c r="C219" s="3" t="s">
        <v>561</v>
      </c>
      <c r="D219" s="3" t="str">
        <f aca="false">IF(LEFT(C219,3)="09S",LEFT(C219,14),C219)</f>
        <v>09S29QBR722618</v>
      </c>
      <c r="E219" s="9" t="str">
        <f aca="false">IF(LEFT(C219,3)="09S",MID(C219,15,5),"")</f>
        <v>F</v>
      </c>
      <c r="F219" s="9" t="n">
        <v>505097</v>
      </c>
      <c r="G219" s="3" t="s">
        <v>446</v>
      </c>
      <c r="H219" s="3" t="str">
        <f aca="false">IFERROR(INDEX(Sistema!$F$2:$F$421,MATCH(D219,Sistema!$G$2:$G$421,0)),"Não encontrado")</f>
        <v>Carrinho 08 - CINZA</v>
      </c>
      <c r="I219" s="3" t="str">
        <f aca="false">IFERROR(INDEX(Sistema!$C$2:$C$421,MATCH(D219,Sistema!$G$2:$G$421,0)),"")</f>
        <v>Samsung Chromebook 4 - 2021/Lote 1</v>
      </c>
      <c r="J219" s="9" t="str">
        <f aca="false">IF(LEFT(C219,3)="09S",IFERROR(MID(INDEX(Sistema!$D$2:$D$421,MATCH(D219,Sistema!$G$2:$G$421,0)),15,5),""),"")</f>
        <v/>
      </c>
      <c r="K219" s="9" t="str">
        <f aca="false">IF(H219="Não encontrado","Não encontrado",IF(H219&lt;&gt;A219,"Local diferente",IF(AND(E219&lt;&gt;"",J219&lt;&gt;"",UPPER(E219)&lt;&gt;UPPER(J219)),"Letra final diferente","Confere")))</f>
        <v>Confere</v>
      </c>
      <c r="L219" s="10"/>
      <c r="M219" s="10"/>
    </row>
    <row r="220" customFormat="false" ht="15" hidden="false" customHeight="false" outlineLevel="0" collapsed="false">
      <c r="A220" s="3" t="s">
        <v>16</v>
      </c>
      <c r="B220" s="9" t="n">
        <v>26</v>
      </c>
      <c r="C220" s="3" t="s">
        <v>562</v>
      </c>
      <c r="D220" s="3" t="str">
        <f aca="false">IF(LEFT(C220,3)="09S",LEFT(C220,14),C220)</f>
        <v>09S29QBR723213</v>
      </c>
      <c r="E220" s="9" t="str">
        <f aca="false">IF(LEFT(C220,3)="09S",MID(C220,15,5),"")</f>
        <v>W</v>
      </c>
      <c r="F220" s="9" t="n">
        <v>505090</v>
      </c>
      <c r="G220" s="3" t="s">
        <v>446</v>
      </c>
      <c r="H220" s="3" t="str">
        <f aca="false">IFERROR(INDEX(Sistema!$F$2:$F$421,MATCH(D220,Sistema!$G$2:$G$421,0)),"Não encontrado")</f>
        <v>Carrinho 08 - CINZA</v>
      </c>
      <c r="I220" s="3" t="str">
        <f aca="false">IFERROR(INDEX(Sistema!$C$2:$C$421,MATCH(D220,Sistema!$G$2:$G$421,0)),"")</f>
        <v>Samsung Chromebook 4 - 2021/Lote 1</v>
      </c>
      <c r="J220" s="9" t="str">
        <f aca="false">IF(LEFT(C220,3)="09S",IFERROR(MID(INDEX(Sistema!$D$2:$D$421,MATCH(D220,Sistema!$G$2:$G$421,0)),15,5),""),"")</f>
        <v/>
      </c>
      <c r="K220" s="9" t="str">
        <f aca="false">IF(H220="Não encontrado","Não encontrado",IF(H220&lt;&gt;A220,"Local diferente",IF(AND(E220&lt;&gt;"",J220&lt;&gt;"",UPPER(E220)&lt;&gt;UPPER(J220)),"Letra final diferente","Confere")))</f>
        <v>Confere</v>
      </c>
      <c r="L220" s="10"/>
      <c r="M220" s="10"/>
    </row>
    <row r="221" customFormat="false" ht="15" hidden="false" customHeight="false" outlineLevel="0" collapsed="false">
      <c r="A221" s="3" t="s">
        <v>16</v>
      </c>
      <c r="B221" s="9" t="n">
        <v>27</v>
      </c>
      <c r="C221" s="3" t="s">
        <v>563</v>
      </c>
      <c r="D221" s="3" t="str">
        <f aca="false">IF(LEFT(C221,3)="09S",LEFT(C221,14),C221)</f>
        <v>09S29QBR712456</v>
      </c>
      <c r="E221" s="9" t="str">
        <f aca="false">IF(LEFT(C221,3)="09S",MID(C221,15,5),"")</f>
        <v>T</v>
      </c>
      <c r="F221" s="9" t="n">
        <v>503839</v>
      </c>
      <c r="G221" s="3" t="s">
        <v>446</v>
      </c>
      <c r="H221" s="3" t="str">
        <f aca="false">IFERROR(INDEX(Sistema!$F$2:$F$421,MATCH(D221,Sistema!$G$2:$G$421,0)),"Não encontrado")</f>
        <v>Carrinho 08 - CINZA</v>
      </c>
      <c r="I221" s="3" t="str">
        <f aca="false">IFERROR(INDEX(Sistema!$C$2:$C$421,MATCH(D221,Sistema!$G$2:$G$421,0)),"")</f>
        <v>Samsung Chromebook 4 - 2021/Lote 4</v>
      </c>
      <c r="J221" s="9" t="str">
        <f aca="false">IF(LEFT(C221,3)="09S",IFERROR(MID(INDEX(Sistema!$D$2:$D$421,MATCH(D221,Sistema!$G$2:$G$421,0)),15,5),""),"")</f>
        <v>T</v>
      </c>
      <c r="K221" s="9" t="str">
        <f aca="false">IF(H221="Não encontrado","Não encontrado",IF(H221&lt;&gt;A221,"Local diferente",IF(AND(E221&lt;&gt;"",J221&lt;&gt;"",UPPER(E221)&lt;&gt;UPPER(J221)),"Letra final diferente","Confere")))</f>
        <v>Confere</v>
      </c>
      <c r="L221" s="10"/>
      <c r="M221" s="10"/>
    </row>
    <row r="222" customFormat="false" ht="15" hidden="false" customHeight="false" outlineLevel="0" collapsed="false">
      <c r="A222" s="3" t="s">
        <v>16</v>
      </c>
      <c r="B222" s="9" t="n">
        <v>28</v>
      </c>
      <c r="C222" s="3" t="s">
        <v>564</v>
      </c>
      <c r="D222" s="3" t="str">
        <f aca="false">IF(LEFT(C222,3)="09S",LEFT(C222,14),C222)</f>
        <v>09S29QBR809588</v>
      </c>
      <c r="E222" s="9" t="str">
        <f aca="false">IF(LEFT(C222,3)="09S",MID(C222,15,5),"")</f>
        <v>D</v>
      </c>
      <c r="F222" s="9" t="n">
        <v>505118</v>
      </c>
      <c r="G222" s="3" t="s">
        <v>446</v>
      </c>
      <c r="H222" s="3" t="str">
        <f aca="false">IFERROR(INDEX(Sistema!$F$2:$F$421,MATCH(D222,Sistema!$G$2:$G$421,0)),"Não encontrado")</f>
        <v>Carrinho 08 - CINZA</v>
      </c>
      <c r="I222" s="3" t="str">
        <f aca="false">IFERROR(INDEX(Sistema!$C$2:$C$421,MATCH(D222,Sistema!$G$2:$G$421,0)),"")</f>
        <v>Samsung Chromebook 4 - 2021/Lote 1</v>
      </c>
      <c r="J222" s="9" t="str">
        <f aca="false">IF(LEFT(C222,3)="09S",IFERROR(MID(INDEX(Sistema!$D$2:$D$421,MATCH(D222,Sistema!$G$2:$G$421,0)),15,5),""),"")</f>
        <v/>
      </c>
      <c r="K222" s="9" t="str">
        <f aca="false">IF(H222="Não encontrado","Não encontrado",IF(H222&lt;&gt;A222,"Local diferente",IF(AND(E222&lt;&gt;"",J222&lt;&gt;"",UPPER(E222)&lt;&gt;UPPER(J222)),"Letra final diferente","Confere")))</f>
        <v>Confere</v>
      </c>
      <c r="L222" s="10"/>
      <c r="M222" s="10"/>
    </row>
    <row r="223" customFormat="false" ht="15" hidden="false" customHeight="false" outlineLevel="0" collapsed="false">
      <c r="A223" s="3" t="s">
        <v>17</v>
      </c>
      <c r="B223" s="9" t="n">
        <v>1</v>
      </c>
      <c r="C223" s="3" t="s">
        <v>565</v>
      </c>
      <c r="D223" s="3" t="str">
        <f aca="false">IF(LEFT(C223,3)="09S",LEFT(C223,14),C223)</f>
        <v>09S29QBR811871</v>
      </c>
      <c r="E223" s="9" t="str">
        <f aca="false">IF(LEFT(C223,3)="09S",MID(C223,15,5),"")</f>
        <v>H</v>
      </c>
      <c r="F223" s="9" t="n">
        <v>503640</v>
      </c>
      <c r="G223" s="3" t="s">
        <v>446</v>
      </c>
      <c r="H223" s="3" t="str">
        <f aca="false">IFERROR(INDEX(Sistema!$F$2:$F$421,MATCH(D223,Sistema!$G$2:$G$421,0)),"Não encontrado")</f>
        <v>Carrinho 10 - MARROM</v>
      </c>
      <c r="I223" s="3" t="str">
        <f aca="false">IFERROR(INDEX(Sistema!$C$2:$C$421,MATCH(D223,Sistema!$G$2:$G$421,0)),"")</f>
        <v>Samsung Chromebook 4 - 2021/Lote 1</v>
      </c>
      <c r="J223" s="9" t="str">
        <f aca="false">IF(LEFT(C223,3)="09S",IFERROR(MID(INDEX(Sistema!$D$2:$D$421,MATCH(D223,Sistema!$G$2:$G$421,0)),15,5),""),"")</f>
        <v/>
      </c>
      <c r="K223" s="9" t="str">
        <f aca="false">IF(H223="Não encontrado","Não encontrado",IF(H223&lt;&gt;A223,"Local diferente",IF(AND(E223&lt;&gt;"",J223&lt;&gt;"",UPPER(E223)&lt;&gt;UPPER(J223)),"Letra final diferente","Confere")))</f>
        <v>Confere</v>
      </c>
      <c r="L223" s="10"/>
      <c r="M223" s="10"/>
    </row>
    <row r="224" customFormat="false" ht="15" hidden="false" customHeight="false" outlineLevel="0" collapsed="false">
      <c r="A224" s="3" t="s">
        <v>17</v>
      </c>
      <c r="B224" s="9" t="n">
        <v>2</v>
      </c>
      <c r="C224" s="3" t="s">
        <v>566</v>
      </c>
      <c r="D224" s="3" t="str">
        <f aca="false">IF(LEFT(C224,3)="09S",LEFT(C224,14),C224)</f>
        <v>09S29QBR722830</v>
      </c>
      <c r="E224" s="9" t="str">
        <f aca="false">IF(LEFT(C224,3)="09S",MID(C224,15,5),"")</f>
        <v>A</v>
      </c>
      <c r="F224" s="9" t="n">
        <v>505205</v>
      </c>
      <c r="G224" s="3" t="s">
        <v>446</v>
      </c>
      <c r="H224" s="3" t="str">
        <f aca="false">IFERROR(INDEX(Sistema!$F$2:$F$421,MATCH(D224,Sistema!$G$2:$G$421,0)),"Não encontrado")</f>
        <v>Carrinho 10 - MARROM</v>
      </c>
      <c r="I224" s="3" t="str">
        <f aca="false">IFERROR(INDEX(Sistema!$C$2:$C$421,MATCH(D224,Sistema!$G$2:$G$421,0)),"")</f>
        <v>Samsung Chromebook 4 - 2021/Lote 1</v>
      </c>
      <c r="J224" s="9" t="str">
        <f aca="false">IF(LEFT(C224,3)="09S",IFERROR(MID(INDEX(Sistema!$D$2:$D$421,MATCH(D224,Sistema!$G$2:$G$421,0)),15,5),""),"")</f>
        <v/>
      </c>
      <c r="K224" s="9" t="str">
        <f aca="false">IF(H224="Não encontrado","Não encontrado",IF(H224&lt;&gt;A224,"Local diferente",IF(AND(E224&lt;&gt;"",J224&lt;&gt;"",UPPER(E224)&lt;&gt;UPPER(J224)),"Letra final diferente","Confere")))</f>
        <v>Confere</v>
      </c>
      <c r="L224" s="10"/>
      <c r="M224" s="10"/>
    </row>
    <row r="225" customFormat="false" ht="15" hidden="false" customHeight="false" outlineLevel="0" collapsed="false">
      <c r="A225" s="3" t="s">
        <v>17</v>
      </c>
      <c r="B225" s="9" t="n">
        <v>3</v>
      </c>
      <c r="C225" s="3" t="s">
        <v>567</v>
      </c>
      <c r="D225" s="3" t="str">
        <f aca="false">IF(LEFT(C225,3)="09S",LEFT(C225,14),C225)</f>
        <v>09S29QBR712323</v>
      </c>
      <c r="E225" s="9" t="str">
        <f aca="false">IF(LEFT(C225,3)="09S",MID(C225,15,5),"")</f>
        <v>W</v>
      </c>
      <c r="F225" s="9" t="n">
        <v>503711</v>
      </c>
      <c r="G225" s="3" t="s">
        <v>446</v>
      </c>
      <c r="H225" s="3" t="str">
        <f aca="false">IFERROR(INDEX(Sistema!$F$2:$F$421,MATCH(D225,Sistema!$G$2:$G$421,0)),"Não encontrado")</f>
        <v>Carrinho 10 - MARROM</v>
      </c>
      <c r="I225" s="3" t="str">
        <f aca="false">IFERROR(INDEX(Sistema!$C$2:$C$421,MATCH(D225,Sistema!$G$2:$G$421,0)),"")</f>
        <v>Samsung Chromebook 4 - 2021/Lote 1</v>
      </c>
      <c r="J225" s="9" t="str">
        <f aca="false">IF(LEFT(C225,3)="09S",IFERROR(MID(INDEX(Sistema!$D$2:$D$421,MATCH(D225,Sistema!$G$2:$G$421,0)),15,5),""),"")</f>
        <v/>
      </c>
      <c r="K225" s="9" t="str">
        <f aca="false">IF(H225="Não encontrado","Não encontrado",IF(H225&lt;&gt;A225,"Local diferente",IF(AND(E225&lt;&gt;"",J225&lt;&gt;"",UPPER(E225)&lt;&gt;UPPER(J225)),"Letra final diferente","Confere")))</f>
        <v>Confere</v>
      </c>
      <c r="L225" s="10"/>
      <c r="M225" s="10"/>
    </row>
    <row r="226" customFormat="false" ht="15" hidden="false" customHeight="false" outlineLevel="0" collapsed="false">
      <c r="A226" s="3" t="s">
        <v>17</v>
      </c>
      <c r="B226" s="9" t="n">
        <v>4</v>
      </c>
      <c r="C226" s="3" t="s">
        <v>568</v>
      </c>
      <c r="D226" s="3" t="str">
        <f aca="false">IF(LEFT(C226,3)="09S",LEFT(C226,14),C226)</f>
        <v>09S29QBR712123</v>
      </c>
      <c r="E226" s="9" t="str">
        <f aca="false">IF(LEFT(C226,3)="09S",MID(C226,15,5),"")</f>
        <v>J</v>
      </c>
      <c r="F226" s="9" t="n">
        <v>503840</v>
      </c>
      <c r="G226" s="3" t="s">
        <v>446</v>
      </c>
      <c r="H226" s="3" t="str">
        <f aca="false">IFERROR(INDEX(Sistema!$F$2:$F$421,MATCH(D226,Sistema!$G$2:$G$421,0)),"Não encontrado")</f>
        <v>Carrinho 10 - MARROM</v>
      </c>
      <c r="I226" s="3" t="str">
        <f aca="false">IFERROR(INDEX(Sistema!$C$2:$C$421,MATCH(D226,Sistema!$G$2:$G$421,0)),"")</f>
        <v>Samsung Chromebook 4 - 2021/Lote 1</v>
      </c>
      <c r="J226" s="9" t="str">
        <f aca="false">IF(LEFT(C226,3)="09S",IFERROR(MID(INDEX(Sistema!$D$2:$D$421,MATCH(D226,Sistema!$G$2:$G$421,0)),15,5),""),"")</f>
        <v/>
      </c>
      <c r="K226" s="9" t="str">
        <f aca="false">IF(H226="Não encontrado","Não encontrado",IF(H226&lt;&gt;A226,"Local diferente",IF(AND(E226&lt;&gt;"",J226&lt;&gt;"",UPPER(E226)&lt;&gt;UPPER(J226)),"Letra final diferente","Confere")))</f>
        <v>Confere</v>
      </c>
      <c r="L226" s="10"/>
      <c r="M226" s="10"/>
    </row>
    <row r="227" customFormat="false" ht="15" hidden="false" customHeight="false" outlineLevel="0" collapsed="false">
      <c r="A227" s="3" t="s">
        <v>17</v>
      </c>
      <c r="B227" s="9" t="n">
        <v>5</v>
      </c>
      <c r="C227" s="3" t="s">
        <v>569</v>
      </c>
      <c r="D227" s="3" t="str">
        <f aca="false">IF(LEFT(C227,3)="09S",LEFT(C227,14),C227)</f>
        <v>09S29QBR705509</v>
      </c>
      <c r="E227" s="9" t="str">
        <f aca="false">IF(LEFT(C227,3)="09S",MID(C227,15,5),"")</f>
        <v>W</v>
      </c>
      <c r="F227" s="9" t="n">
        <v>505055</v>
      </c>
      <c r="G227" s="3" t="s">
        <v>446</v>
      </c>
      <c r="H227" s="3" t="str">
        <f aca="false">IFERROR(INDEX(Sistema!$F$2:$F$421,MATCH(D227,Sistema!$G$2:$G$421,0)),"Não encontrado")</f>
        <v>Carrinho 10 - MARROM</v>
      </c>
      <c r="I227" s="3" t="str">
        <f aca="false">IFERROR(INDEX(Sistema!$C$2:$C$421,MATCH(D227,Sistema!$G$2:$G$421,0)),"")</f>
        <v>Samsung Chromebook 4 - 2021/Lote 1</v>
      </c>
      <c r="J227" s="9" t="str">
        <f aca="false">IF(LEFT(C227,3)="09S",IFERROR(MID(INDEX(Sistema!$D$2:$D$421,MATCH(D227,Sistema!$G$2:$G$421,0)),15,5),""),"")</f>
        <v/>
      </c>
      <c r="K227" s="9" t="str">
        <f aca="false">IF(H227="Não encontrado","Não encontrado",IF(H227&lt;&gt;A227,"Local diferente",IF(AND(E227&lt;&gt;"",J227&lt;&gt;"",UPPER(E227)&lt;&gt;UPPER(J227)),"Letra final diferente","Confere")))</f>
        <v>Confere</v>
      </c>
      <c r="L227" s="10"/>
      <c r="M227" s="10"/>
    </row>
    <row r="228" customFormat="false" ht="15" hidden="false" customHeight="false" outlineLevel="0" collapsed="false">
      <c r="A228" s="3" t="s">
        <v>17</v>
      </c>
      <c r="B228" s="9" t="n">
        <v>6</v>
      </c>
      <c r="C228" s="3" t="s">
        <v>570</v>
      </c>
      <c r="D228" s="3" t="str">
        <f aca="false">IF(LEFT(C228,3)="09S",LEFT(C228,14),C228)</f>
        <v>09S29QBR701008</v>
      </c>
      <c r="E228" s="9" t="str">
        <f aca="false">IF(LEFT(C228,3)="09S",MID(C228,15,5),"")</f>
        <v>B</v>
      </c>
      <c r="F228" s="9" t="n">
        <v>505035</v>
      </c>
      <c r="G228" s="3" t="s">
        <v>446</v>
      </c>
      <c r="H228" s="3" t="str">
        <f aca="false">IFERROR(INDEX(Sistema!$F$2:$F$421,MATCH(D228,Sistema!$G$2:$G$421,0)),"Não encontrado")</f>
        <v>Carrinho 10 - MARROM</v>
      </c>
      <c r="I228" s="3" t="str">
        <f aca="false">IFERROR(INDEX(Sistema!$C$2:$C$421,MATCH(D228,Sistema!$G$2:$G$421,0)),"")</f>
        <v>Samsung Chromebook 4 - 2021/Lote 1</v>
      </c>
      <c r="J228" s="9" t="str">
        <f aca="false">IF(LEFT(C228,3)="09S",IFERROR(MID(INDEX(Sistema!$D$2:$D$421,MATCH(D228,Sistema!$G$2:$G$421,0)),15,5),""),"")</f>
        <v/>
      </c>
      <c r="K228" s="9" t="str">
        <f aca="false">IF(H228="Não encontrado","Não encontrado",IF(H228&lt;&gt;A228,"Local diferente",IF(AND(E228&lt;&gt;"",J228&lt;&gt;"",UPPER(E228)&lt;&gt;UPPER(J228)),"Letra final diferente","Confere")))</f>
        <v>Confere</v>
      </c>
      <c r="L228" s="10"/>
      <c r="M228" s="10"/>
    </row>
    <row r="229" customFormat="false" ht="15" hidden="false" customHeight="false" outlineLevel="0" collapsed="false">
      <c r="A229" s="3" t="s">
        <v>17</v>
      </c>
      <c r="B229" s="9" t="n">
        <v>7</v>
      </c>
      <c r="C229" s="3" t="s">
        <v>571</v>
      </c>
      <c r="D229" s="3" t="str">
        <f aca="false">IF(LEFT(C229,3)="09S",LEFT(C229,14),C229)</f>
        <v>09S29QBR811367</v>
      </c>
      <c r="E229" s="9" t="str">
        <f aca="false">IF(LEFT(C229,3)="09S",MID(C229,15,5),"")</f>
        <v>R</v>
      </c>
      <c r="F229" s="9" t="n">
        <v>503768</v>
      </c>
      <c r="G229" s="3" t="s">
        <v>446</v>
      </c>
      <c r="H229" s="3" t="str">
        <f aca="false">IFERROR(INDEX(Sistema!$F$2:$F$421,MATCH(D229,Sistema!$G$2:$G$421,0)),"Não encontrado")</f>
        <v>Carrinho 10 - MARROM</v>
      </c>
      <c r="I229" s="3" t="str">
        <f aca="false">IFERROR(INDEX(Sistema!$C$2:$C$421,MATCH(D229,Sistema!$G$2:$G$421,0)),"")</f>
        <v>Samsung Chromebook 4 - 2021/Lote 1</v>
      </c>
      <c r="J229" s="9" t="str">
        <f aca="false">IF(LEFT(C229,3)="09S",IFERROR(MID(INDEX(Sistema!$D$2:$D$421,MATCH(D229,Sistema!$G$2:$G$421,0)),15,5),""),"")</f>
        <v/>
      </c>
      <c r="K229" s="9" t="str">
        <f aca="false">IF(H229="Não encontrado","Não encontrado",IF(H229&lt;&gt;A229,"Local diferente",IF(AND(E229&lt;&gt;"",J229&lt;&gt;"",UPPER(E229)&lt;&gt;UPPER(J229)),"Letra final diferente","Confere")))</f>
        <v>Confere</v>
      </c>
      <c r="L229" s="10"/>
      <c r="M229" s="10"/>
    </row>
    <row r="230" customFormat="false" ht="15" hidden="false" customHeight="false" outlineLevel="0" collapsed="false">
      <c r="A230" s="3" t="s">
        <v>17</v>
      </c>
      <c r="B230" s="9" t="n">
        <v>8</v>
      </c>
      <c r="C230" s="3" t="s">
        <v>572</v>
      </c>
      <c r="D230" s="3" t="str">
        <f aca="false">IF(LEFT(C230,3)="09S",LEFT(C230,14),C230)</f>
        <v>09S29QBR702161</v>
      </c>
      <c r="E230" s="9" t="str">
        <f aca="false">IF(LEFT(C230,3)="09S",MID(C230,15,5),"")</f>
        <v>A</v>
      </c>
      <c r="F230" s="9" t="n">
        <v>505042</v>
      </c>
      <c r="G230" s="3" t="s">
        <v>446</v>
      </c>
      <c r="H230" s="3" t="str">
        <f aca="false">IFERROR(INDEX(Sistema!$F$2:$F$421,MATCH(D230,Sistema!$G$2:$G$421,0)),"Não encontrado")</f>
        <v>Carrinho 10 - MARROM</v>
      </c>
      <c r="I230" s="3" t="str">
        <f aca="false">IFERROR(INDEX(Sistema!$C$2:$C$421,MATCH(D230,Sistema!$G$2:$G$421,0)),"")</f>
        <v>Samsung Chromebook 4 - 2021/Lote 1</v>
      </c>
      <c r="J230" s="9" t="str">
        <f aca="false">IF(LEFT(C230,3)="09S",IFERROR(MID(INDEX(Sistema!$D$2:$D$421,MATCH(D230,Sistema!$G$2:$G$421,0)),15,5),""),"")</f>
        <v/>
      </c>
      <c r="K230" s="9" t="str">
        <f aca="false">IF(H230="Não encontrado","Não encontrado",IF(H230&lt;&gt;A230,"Local diferente",IF(AND(E230&lt;&gt;"",J230&lt;&gt;"",UPPER(E230)&lt;&gt;UPPER(J230)),"Letra final diferente","Confere")))</f>
        <v>Confere</v>
      </c>
      <c r="L230" s="10"/>
      <c r="M230" s="10"/>
    </row>
    <row r="231" customFormat="false" ht="15" hidden="false" customHeight="false" outlineLevel="0" collapsed="false">
      <c r="A231" s="3" t="s">
        <v>17</v>
      </c>
      <c r="B231" s="9" t="n">
        <v>9</v>
      </c>
      <c r="C231" s="3" t="s">
        <v>573</v>
      </c>
      <c r="D231" s="3" t="str">
        <f aca="false">IF(LEFT(C231,3)="09S",LEFT(C231,14),C231)</f>
        <v>09S29QBR603378</v>
      </c>
      <c r="E231" s="9" t="str">
        <f aca="false">IF(LEFT(C231,3)="09S",MID(C231,15,5),"")</f>
        <v>W</v>
      </c>
      <c r="F231" s="9" t="n">
        <v>505138</v>
      </c>
      <c r="G231" s="3" t="s">
        <v>446</v>
      </c>
      <c r="H231" s="3" t="str">
        <f aca="false">IFERROR(INDEX(Sistema!$F$2:$F$421,MATCH(D231,Sistema!$G$2:$G$421,0)),"Não encontrado")</f>
        <v>Carrinho 10 - MARROM</v>
      </c>
      <c r="I231" s="3" t="str">
        <f aca="false">IFERROR(INDEX(Sistema!$C$2:$C$421,MATCH(D231,Sistema!$G$2:$G$421,0)),"")</f>
        <v>Samsung Chromebook 4 - 2021/Lote 1</v>
      </c>
      <c r="J231" s="9" t="str">
        <f aca="false">IF(LEFT(C231,3)="09S",IFERROR(MID(INDEX(Sistema!$D$2:$D$421,MATCH(D231,Sistema!$G$2:$G$421,0)),15,5),""),"")</f>
        <v/>
      </c>
      <c r="K231" s="9" t="str">
        <f aca="false">IF(H231="Não encontrado","Não encontrado",IF(H231&lt;&gt;A231,"Local diferente",IF(AND(E231&lt;&gt;"",J231&lt;&gt;"",UPPER(E231)&lt;&gt;UPPER(J231)),"Letra final diferente","Confere")))</f>
        <v>Confere</v>
      </c>
      <c r="L231" s="10"/>
      <c r="M231" s="10"/>
    </row>
    <row r="232" customFormat="false" ht="15" hidden="false" customHeight="false" outlineLevel="0" collapsed="false">
      <c r="A232" s="3" t="s">
        <v>17</v>
      </c>
      <c r="B232" s="9" t="n">
        <v>10</v>
      </c>
      <c r="C232" s="3" t="s">
        <v>574</v>
      </c>
      <c r="D232" s="3" t="str">
        <f aca="false">IF(LEFT(C232,3)="09S",LEFT(C232,14),C232)</f>
        <v>09S29QAR110482</v>
      </c>
      <c r="E232" s="9" t="str">
        <f aca="false">IF(LEFT(C232,3)="09S",MID(C232,15,5),"")</f>
        <v>K</v>
      </c>
      <c r="F232" s="9" t="n">
        <v>382666</v>
      </c>
      <c r="G232" s="3" t="s">
        <v>446</v>
      </c>
      <c r="H232" s="3" t="str">
        <f aca="false">IFERROR(INDEX(Sistema!$F$2:$F$421,MATCH(D232,Sistema!$G$2:$G$421,0)),"Não encontrado")</f>
        <v>Carrinho 10 - MARROM</v>
      </c>
      <c r="I232" s="3" t="str">
        <f aca="false">IFERROR(INDEX(Sistema!$C$2:$C$421,MATCH(D232,Sistema!$G$2:$G$421,0)),"")</f>
        <v>Samsung Chromebook 4</v>
      </c>
      <c r="J232" s="9" t="str">
        <f aca="false">IF(LEFT(C232,3)="09S",IFERROR(MID(INDEX(Sistema!$D$2:$D$421,MATCH(D232,Sistema!$G$2:$G$421,0)),15,5),""),"")</f>
        <v>K</v>
      </c>
      <c r="K232" s="9" t="str">
        <f aca="false">IF(H232="Não encontrado","Não encontrado",IF(H232&lt;&gt;A232,"Local diferente",IF(AND(E232&lt;&gt;"",J232&lt;&gt;"",UPPER(E232)&lt;&gt;UPPER(J232)),"Letra final diferente","Confere")))</f>
        <v>Confere</v>
      </c>
      <c r="L232" s="10"/>
      <c r="M232" s="10"/>
    </row>
    <row r="233" customFormat="false" ht="15" hidden="false" customHeight="false" outlineLevel="0" collapsed="false">
      <c r="A233" s="3" t="s">
        <v>17</v>
      </c>
      <c r="B233" s="9" t="n">
        <v>11</v>
      </c>
      <c r="C233" s="3" t="s">
        <v>575</v>
      </c>
      <c r="D233" s="3" t="str">
        <f aca="false">IF(LEFT(C233,3)="09S",LEFT(C233,14),C233)</f>
        <v>09S29QBR707085</v>
      </c>
      <c r="E233" s="9" t="str">
        <f aca="false">IF(LEFT(C233,3)="09S",MID(C233,15,5),"")</f>
        <v>W</v>
      </c>
      <c r="F233" s="9" t="n">
        <v>505314</v>
      </c>
      <c r="G233" s="3" t="s">
        <v>446</v>
      </c>
      <c r="H233" s="3" t="str">
        <f aca="false">IFERROR(INDEX(Sistema!$F$2:$F$421,MATCH(D233,Sistema!$G$2:$G$421,0)),"Não encontrado")</f>
        <v>Carrinho 10 - MARROM</v>
      </c>
      <c r="I233" s="3" t="str">
        <f aca="false">IFERROR(INDEX(Sistema!$C$2:$C$421,MATCH(D233,Sistema!$G$2:$G$421,0)),"")</f>
        <v>Samsung Chromebook 4 - 2021/Lote 1</v>
      </c>
      <c r="J233" s="9" t="str">
        <f aca="false">IF(LEFT(C233,3)="09S",IFERROR(MID(INDEX(Sistema!$D$2:$D$421,MATCH(D233,Sistema!$G$2:$G$421,0)),15,5),""),"")</f>
        <v/>
      </c>
      <c r="K233" s="9" t="str">
        <f aca="false">IF(H233="Não encontrado","Não encontrado",IF(H233&lt;&gt;A233,"Local diferente",IF(AND(E233&lt;&gt;"",J233&lt;&gt;"",UPPER(E233)&lt;&gt;UPPER(J233)),"Letra final diferente","Confere")))</f>
        <v>Confere</v>
      </c>
      <c r="L233" s="10"/>
      <c r="M233" s="10"/>
    </row>
    <row r="234" customFormat="false" ht="15" hidden="false" customHeight="false" outlineLevel="0" collapsed="false">
      <c r="A234" s="3" t="s">
        <v>17</v>
      </c>
      <c r="B234" s="9" t="n">
        <v>12</v>
      </c>
      <c r="C234" s="3" t="s">
        <v>576</v>
      </c>
      <c r="D234" s="3" t="str">
        <f aca="false">IF(LEFT(C234,3)="09S",LEFT(C234,14),C234)</f>
        <v>09S29QAR700032</v>
      </c>
      <c r="E234" s="9" t="str">
        <f aca="false">IF(LEFT(C234,3)="09S",MID(C234,15,5),"")</f>
        <v>Y</v>
      </c>
      <c r="F234" s="9" t="n">
        <v>504995</v>
      </c>
      <c r="G234" s="3" t="s">
        <v>446</v>
      </c>
      <c r="H234" s="3" t="str">
        <f aca="false">IFERROR(INDEX(Sistema!$F$2:$F$421,MATCH(D234,Sistema!$G$2:$G$421,0)),"Não encontrado")</f>
        <v>Carrinho 10 - MARROM</v>
      </c>
      <c r="I234" s="3" t="str">
        <f aca="false">IFERROR(INDEX(Sistema!$C$2:$C$421,MATCH(D234,Sistema!$G$2:$G$421,0)),"")</f>
        <v>Samsung Chromebook 4 - 2021/Lote 1</v>
      </c>
      <c r="J234" s="9" t="str">
        <f aca="false">IF(LEFT(C234,3)="09S",IFERROR(MID(INDEX(Sistema!$D$2:$D$421,MATCH(D234,Sistema!$G$2:$G$421,0)),15,5),""),"")</f>
        <v/>
      </c>
      <c r="K234" s="9" t="str">
        <f aca="false">IF(H234="Não encontrado","Não encontrado",IF(H234&lt;&gt;A234,"Local diferente",IF(AND(E234&lt;&gt;"",J234&lt;&gt;"",UPPER(E234)&lt;&gt;UPPER(J234)),"Letra final diferente","Confere")))</f>
        <v>Confere</v>
      </c>
      <c r="L234" s="10"/>
      <c r="M234" s="10"/>
    </row>
    <row r="235" customFormat="false" ht="15" hidden="false" customHeight="false" outlineLevel="0" collapsed="false">
      <c r="A235" s="3" t="s">
        <v>17</v>
      </c>
      <c r="B235" s="9" t="n">
        <v>13</v>
      </c>
      <c r="C235" s="3" t="s">
        <v>577</v>
      </c>
      <c r="D235" s="3" t="str">
        <f aca="false">IF(LEFT(C235,3)="09S",LEFT(C235,14),C235)</f>
        <v>09S29QAR110810</v>
      </c>
      <c r="E235" s="9" t="str">
        <f aca="false">IF(LEFT(C235,3)="09S",MID(C235,15,5),"")</f>
        <v>X</v>
      </c>
      <c r="F235" s="9" t="n">
        <v>382657</v>
      </c>
      <c r="G235" s="3" t="s">
        <v>446</v>
      </c>
      <c r="H235" s="3" t="str">
        <f aca="false">IFERROR(INDEX(Sistema!$F$2:$F$421,MATCH(D235,Sistema!$G$2:$G$421,0)),"Não encontrado")</f>
        <v>Carrinho 10 - MARROM</v>
      </c>
      <c r="I235" s="3" t="str">
        <f aca="false">IFERROR(INDEX(Sistema!$C$2:$C$421,MATCH(D235,Sistema!$G$2:$G$421,0)),"")</f>
        <v>Samsung Chromebook 4</v>
      </c>
      <c r="J235" s="9" t="str">
        <f aca="false">IF(LEFT(C235,3)="09S",IFERROR(MID(INDEX(Sistema!$D$2:$D$421,MATCH(D235,Sistema!$G$2:$G$421,0)),15,5),""),"")</f>
        <v>X</v>
      </c>
      <c r="K235" s="9" t="str">
        <f aca="false">IF(H235="Não encontrado","Não encontrado",IF(H235&lt;&gt;A235,"Local diferente",IF(AND(E235&lt;&gt;"",J235&lt;&gt;"",UPPER(E235)&lt;&gt;UPPER(J235)),"Letra final diferente","Confere")))</f>
        <v>Confere</v>
      </c>
      <c r="L235" s="10"/>
      <c r="M235" s="10"/>
    </row>
    <row r="236" customFormat="false" ht="15" hidden="false" customHeight="false" outlineLevel="0" collapsed="false">
      <c r="A236" s="3" t="s">
        <v>17</v>
      </c>
      <c r="B236" s="9" t="n">
        <v>14</v>
      </c>
      <c r="C236" s="3" t="s">
        <v>578</v>
      </c>
      <c r="D236" s="3" t="str">
        <f aca="false">IF(LEFT(C236,3)="09S",LEFT(C236,14),C236)</f>
        <v>09S29QBR707480</v>
      </c>
      <c r="E236" s="9" t="str">
        <f aca="false">IF(LEFT(C236,3)="09S",MID(C236,15,5),"")</f>
        <v>N</v>
      </c>
      <c r="F236" s="9" t="n">
        <v>503730</v>
      </c>
      <c r="G236" s="3" t="s">
        <v>446</v>
      </c>
      <c r="H236" s="3" t="str">
        <f aca="false">IFERROR(INDEX(Sistema!$F$2:$F$421,MATCH(D236,Sistema!$G$2:$G$421,0)),"Não encontrado")</f>
        <v>Carrinho 10 - MARROM</v>
      </c>
      <c r="I236" s="3" t="str">
        <f aca="false">IFERROR(INDEX(Sistema!$C$2:$C$421,MATCH(D236,Sistema!$G$2:$G$421,0)),"")</f>
        <v>Samsung Chromebook 4 - 2021/Lote 1</v>
      </c>
      <c r="J236" s="9" t="str">
        <f aca="false">IF(LEFT(C236,3)="09S",IFERROR(MID(INDEX(Sistema!$D$2:$D$421,MATCH(D236,Sistema!$G$2:$G$421,0)),15,5),""),"")</f>
        <v/>
      </c>
      <c r="K236" s="9" t="str">
        <f aca="false">IF(H236="Não encontrado","Não encontrado",IF(H236&lt;&gt;A236,"Local diferente",IF(AND(E236&lt;&gt;"",J236&lt;&gt;"",UPPER(E236)&lt;&gt;UPPER(J236)),"Letra final diferente","Confere")))</f>
        <v>Confere</v>
      </c>
      <c r="L236" s="10"/>
      <c r="M236" s="10"/>
    </row>
    <row r="237" customFormat="false" ht="15" hidden="false" customHeight="false" outlineLevel="0" collapsed="false">
      <c r="A237" s="3" t="s">
        <v>17</v>
      </c>
      <c r="B237" s="9" t="n">
        <v>15</v>
      </c>
      <c r="C237" s="3" t="s">
        <v>579</v>
      </c>
      <c r="D237" s="3" t="str">
        <f aca="false">IF(LEFT(C237,3)="09S",LEFT(C237,14),C237)</f>
        <v>09S29QANC07030</v>
      </c>
      <c r="E237" s="9" t="str">
        <f aca="false">IF(LEFT(C237,3)="09S",MID(C237,15,5),"")</f>
        <v>P</v>
      </c>
      <c r="F237" s="9" t="n">
        <v>382893</v>
      </c>
      <c r="G237" s="3" t="s">
        <v>446</v>
      </c>
      <c r="H237" s="3" t="str">
        <f aca="false">IFERROR(INDEX(Sistema!$F$2:$F$421,MATCH(D237,Sistema!$G$2:$G$421,0)),"Não encontrado")</f>
        <v>Carrinho 10 - MARROM</v>
      </c>
      <c r="I237" s="3" t="str">
        <f aca="false">IFERROR(INDEX(Sistema!$C$2:$C$421,MATCH(D237,Sistema!$G$2:$G$421,0)),"")</f>
        <v>Samsung Chromebook 4</v>
      </c>
      <c r="J237" s="9" t="str">
        <f aca="false">IF(LEFT(C237,3)="09S",IFERROR(MID(INDEX(Sistema!$D$2:$D$421,MATCH(D237,Sistema!$G$2:$G$421,0)),15,5),""),"")</f>
        <v>P</v>
      </c>
      <c r="K237" s="9" t="str">
        <f aca="false">IF(H237="Não encontrado","Não encontrado",IF(H237&lt;&gt;A237,"Local diferente",IF(AND(E237&lt;&gt;"",J237&lt;&gt;"",UPPER(E237)&lt;&gt;UPPER(J237)),"Letra final diferente","Confere")))</f>
        <v>Confere</v>
      </c>
      <c r="L237" s="10"/>
      <c r="M237" s="10"/>
    </row>
    <row r="238" customFormat="false" ht="15" hidden="false" customHeight="false" outlineLevel="0" collapsed="false">
      <c r="A238" s="3" t="s">
        <v>17</v>
      </c>
      <c r="B238" s="9" t="n">
        <v>16</v>
      </c>
      <c r="C238" s="3" t="s">
        <v>580</v>
      </c>
      <c r="D238" s="3" t="str">
        <f aca="false">IF(LEFT(C238,3)="09S",LEFT(C238,14),C238)</f>
        <v>09S29QBR702127</v>
      </c>
      <c r="E238" s="9" t="str">
        <f aca="false">IF(LEFT(C238,3)="09S",MID(C238,15,5),"")</f>
        <v>L</v>
      </c>
      <c r="F238" s="9" t="n">
        <v>505197</v>
      </c>
      <c r="G238" s="3" t="s">
        <v>446</v>
      </c>
      <c r="H238" s="3" t="str">
        <f aca="false">IFERROR(INDEX(Sistema!$F$2:$F$421,MATCH(D238,Sistema!$G$2:$G$421,0)),"Não encontrado")</f>
        <v>Carrinho 10 - MARROM</v>
      </c>
      <c r="I238" s="3" t="str">
        <f aca="false">IFERROR(INDEX(Sistema!$C$2:$C$421,MATCH(D238,Sistema!$G$2:$G$421,0)),"")</f>
        <v>Samsung Chromebook 4 - 2021/Lote 1</v>
      </c>
      <c r="J238" s="9" t="str">
        <f aca="false">IF(LEFT(C238,3)="09S",IFERROR(MID(INDEX(Sistema!$D$2:$D$421,MATCH(D238,Sistema!$G$2:$G$421,0)),15,5),""),"")</f>
        <v/>
      </c>
      <c r="K238" s="9" t="str">
        <f aca="false">IF(H238="Não encontrado","Não encontrado",IF(H238&lt;&gt;A238,"Local diferente",IF(AND(E238&lt;&gt;"",J238&lt;&gt;"",UPPER(E238)&lt;&gt;UPPER(J238)),"Letra final diferente","Confere")))</f>
        <v>Confere</v>
      </c>
      <c r="L238" s="10"/>
      <c r="M238" s="10"/>
    </row>
    <row r="239" customFormat="false" ht="15" hidden="false" customHeight="false" outlineLevel="0" collapsed="false">
      <c r="A239" s="3" t="s">
        <v>17</v>
      </c>
      <c r="B239" s="9" t="n">
        <v>17</v>
      </c>
      <c r="C239" s="3" t="s">
        <v>581</v>
      </c>
      <c r="D239" s="3" t="str">
        <f aca="false">IF(LEFT(C239,3)="09S",LEFT(C239,14),C239)</f>
        <v>09S29QBR711685</v>
      </c>
      <c r="E239" s="9" t="str">
        <f aca="false">IF(LEFT(C239,3)="09S",MID(C239,15,5),"")</f>
        <v>V</v>
      </c>
      <c r="F239" s="9" t="n">
        <v>503712</v>
      </c>
      <c r="G239" s="3" t="s">
        <v>446</v>
      </c>
      <c r="H239" s="3" t="str">
        <f aca="false">IFERROR(INDEX(Sistema!$F$2:$F$421,MATCH(D239,Sistema!$G$2:$G$421,0)),"Não encontrado")</f>
        <v>Carrinho 10 - MARROM</v>
      </c>
      <c r="I239" s="3" t="str">
        <f aca="false">IFERROR(INDEX(Sistema!$C$2:$C$421,MATCH(D239,Sistema!$G$2:$G$421,0)),"")</f>
        <v>Samsung Chromebook 4 - 2021/Lote 1</v>
      </c>
      <c r="J239" s="9" t="str">
        <f aca="false">IF(LEFT(C239,3)="09S",IFERROR(MID(INDEX(Sistema!$D$2:$D$421,MATCH(D239,Sistema!$G$2:$G$421,0)),15,5),""),"")</f>
        <v/>
      </c>
      <c r="K239" s="9" t="str">
        <f aca="false">IF(H239="Não encontrado","Não encontrado",IF(H239&lt;&gt;A239,"Local diferente",IF(AND(E239&lt;&gt;"",J239&lt;&gt;"",UPPER(E239)&lt;&gt;UPPER(J239)),"Letra final diferente","Confere")))</f>
        <v>Confere</v>
      </c>
      <c r="L239" s="10"/>
      <c r="M239" s="10"/>
    </row>
    <row r="240" customFormat="false" ht="15" hidden="false" customHeight="false" outlineLevel="0" collapsed="false">
      <c r="A240" s="3" t="s">
        <v>17</v>
      </c>
      <c r="B240" s="9" t="n">
        <v>18</v>
      </c>
      <c r="C240" s="3" t="s">
        <v>582</v>
      </c>
      <c r="D240" s="3" t="str">
        <f aca="false">IF(LEFT(C240,3)="09S",LEFT(C240,14),C240)</f>
        <v>09S29QBR705018</v>
      </c>
      <c r="E240" s="9" t="str">
        <f aca="false">IF(LEFT(C240,3)="09S",MID(C240,15,5),"")</f>
        <v>P</v>
      </c>
      <c r="F240" s="9" t="n">
        <v>505036</v>
      </c>
      <c r="G240" s="3" t="s">
        <v>446</v>
      </c>
      <c r="H240" s="3" t="str">
        <f aca="false">IFERROR(INDEX(Sistema!$F$2:$F$421,MATCH(D240,Sistema!$G$2:$G$421,0)),"Não encontrado")</f>
        <v>Carrinho 10 - MARROM</v>
      </c>
      <c r="I240" s="3" t="str">
        <f aca="false">IFERROR(INDEX(Sistema!$C$2:$C$421,MATCH(D240,Sistema!$G$2:$G$421,0)),"")</f>
        <v>Samsung Chromebook 4 - 2021/Lote 1</v>
      </c>
      <c r="J240" s="9" t="str">
        <f aca="false">IF(LEFT(C240,3)="09S",IFERROR(MID(INDEX(Sistema!$D$2:$D$421,MATCH(D240,Sistema!$G$2:$G$421,0)),15,5),""),"")</f>
        <v/>
      </c>
      <c r="K240" s="9" t="str">
        <f aca="false">IF(H240="Não encontrado","Não encontrado",IF(H240&lt;&gt;A240,"Local diferente",IF(AND(E240&lt;&gt;"",J240&lt;&gt;"",UPPER(E240)&lt;&gt;UPPER(J240)),"Letra final diferente","Confere")))</f>
        <v>Confere</v>
      </c>
      <c r="L240" s="10"/>
      <c r="M240" s="10"/>
    </row>
    <row r="241" customFormat="false" ht="15" hidden="false" customHeight="false" outlineLevel="0" collapsed="false">
      <c r="A241" s="3" t="s">
        <v>17</v>
      </c>
      <c r="B241" s="9" t="n">
        <v>19</v>
      </c>
      <c r="C241" s="3" t="s">
        <v>583</v>
      </c>
      <c r="D241" s="3" t="str">
        <f aca="false">IF(LEFT(C241,3)="09S",LEFT(C241,14),C241)</f>
        <v>09S29QBR701886</v>
      </c>
      <c r="E241" s="9" t="str">
        <f aca="false">IF(LEFT(C241,3)="09S",MID(C241,15,5),"")</f>
        <v>A</v>
      </c>
      <c r="F241" s="9" t="n">
        <v>505190</v>
      </c>
      <c r="G241" s="3" t="s">
        <v>446</v>
      </c>
      <c r="H241" s="3" t="str">
        <f aca="false">IFERROR(INDEX(Sistema!$F$2:$F$421,MATCH(D241,Sistema!$G$2:$G$421,0)),"Não encontrado")</f>
        <v>Carrinho 10 - MARROM</v>
      </c>
      <c r="I241" s="3" t="str">
        <f aca="false">IFERROR(INDEX(Sistema!$C$2:$C$421,MATCH(D241,Sistema!$G$2:$G$421,0)),"")</f>
        <v>Samsung Chromebook 4 - 2021/Lote 1</v>
      </c>
      <c r="J241" s="9" t="str">
        <f aca="false">IF(LEFT(C241,3)="09S",IFERROR(MID(INDEX(Sistema!$D$2:$D$421,MATCH(D241,Sistema!$G$2:$G$421,0)),15,5),""),"")</f>
        <v/>
      </c>
      <c r="K241" s="9" t="str">
        <f aca="false">IF(H241="Não encontrado","Não encontrado",IF(H241&lt;&gt;A241,"Local diferente",IF(AND(E241&lt;&gt;"",J241&lt;&gt;"",UPPER(E241)&lt;&gt;UPPER(J241)),"Letra final diferente","Confere")))</f>
        <v>Confere</v>
      </c>
      <c r="L241" s="10"/>
      <c r="M241" s="10"/>
    </row>
    <row r="242" customFormat="false" ht="15" hidden="false" customHeight="false" outlineLevel="0" collapsed="false">
      <c r="A242" s="3" t="s">
        <v>17</v>
      </c>
      <c r="B242" s="9" t="n">
        <v>20</v>
      </c>
      <c r="C242" s="3" t="s">
        <v>584</v>
      </c>
      <c r="D242" s="3" t="str">
        <f aca="false">IF(LEFT(C242,3)="09S",LEFT(C242,14),C242)</f>
        <v>09S29QBR712147</v>
      </c>
      <c r="E242" s="9" t="str">
        <f aca="false">IF(LEFT(C242,3)="09S",MID(C242,15,5),"")</f>
        <v>K</v>
      </c>
      <c r="F242" s="9" t="n">
        <v>503736</v>
      </c>
      <c r="G242" s="3" t="s">
        <v>446</v>
      </c>
      <c r="H242" s="3" t="str">
        <f aca="false">IFERROR(INDEX(Sistema!$F$2:$F$421,MATCH(D242,Sistema!$G$2:$G$421,0)),"Não encontrado")</f>
        <v>Carrinho 10 - MARROM</v>
      </c>
      <c r="I242" s="3" t="str">
        <f aca="false">IFERROR(INDEX(Sistema!$C$2:$C$421,MATCH(D242,Sistema!$G$2:$G$421,0)),"")</f>
        <v>Samsung Chromebook 4 - 2021/Lote 1</v>
      </c>
      <c r="J242" s="9" t="str">
        <f aca="false">IF(LEFT(C242,3)="09S",IFERROR(MID(INDEX(Sistema!$D$2:$D$421,MATCH(D242,Sistema!$G$2:$G$421,0)),15,5),""),"")</f>
        <v/>
      </c>
      <c r="K242" s="9" t="str">
        <f aca="false">IF(H242="Não encontrado","Não encontrado",IF(H242&lt;&gt;A242,"Local diferente",IF(AND(E242&lt;&gt;"",J242&lt;&gt;"",UPPER(E242)&lt;&gt;UPPER(J242)),"Letra final diferente","Confere")))</f>
        <v>Confere</v>
      </c>
      <c r="L242" s="10"/>
      <c r="M242" s="10" t="s">
        <v>585</v>
      </c>
    </row>
    <row r="243" customFormat="false" ht="15" hidden="false" customHeight="false" outlineLevel="0" collapsed="false">
      <c r="A243" s="3" t="s">
        <v>17</v>
      </c>
      <c r="B243" s="9" t="n">
        <v>21</v>
      </c>
      <c r="C243" s="3" t="s">
        <v>586</v>
      </c>
      <c r="D243" s="3" t="str">
        <f aca="false">IF(LEFT(C243,3)="09S",LEFT(C243,14),C243)</f>
        <v>09S29QAR804400</v>
      </c>
      <c r="E243" s="9" t="str">
        <f aca="false">IF(LEFT(C243,3)="09S",MID(C243,15,5),"")</f>
        <v>Z</v>
      </c>
      <c r="F243" s="9" t="n">
        <v>505290</v>
      </c>
      <c r="G243" s="3" t="s">
        <v>446</v>
      </c>
      <c r="H243" s="3" t="str">
        <f aca="false">IFERROR(INDEX(Sistema!$F$2:$F$421,MATCH(D243,Sistema!$G$2:$G$421,0)),"Não encontrado")</f>
        <v>Carrinho 10 - MARROM</v>
      </c>
      <c r="I243" s="3" t="str">
        <f aca="false">IFERROR(INDEX(Sistema!$C$2:$C$421,MATCH(D243,Sistema!$G$2:$G$421,0)),"")</f>
        <v>Samsung Chromebook 4 - 2021/Lote 1</v>
      </c>
      <c r="J243" s="9" t="str">
        <f aca="false">IF(LEFT(C243,3)="09S",IFERROR(MID(INDEX(Sistema!$D$2:$D$421,MATCH(D243,Sistema!$G$2:$G$421,0)),15,5),""),"")</f>
        <v/>
      </c>
      <c r="K243" s="9" t="str">
        <f aca="false">IF(H243="Não encontrado","Não encontrado",IF(H243&lt;&gt;A243,"Local diferente",IF(AND(E243&lt;&gt;"",J243&lt;&gt;"",UPPER(E243)&lt;&gt;UPPER(J243)),"Letra final diferente","Confere")))</f>
        <v>Confere</v>
      </c>
      <c r="L243" s="10"/>
      <c r="M243" s="10"/>
    </row>
    <row r="244" customFormat="false" ht="15" hidden="false" customHeight="false" outlineLevel="0" collapsed="false">
      <c r="A244" s="3" t="s">
        <v>17</v>
      </c>
      <c r="B244" s="9" t="n">
        <v>22</v>
      </c>
      <c r="C244" s="3" t="s">
        <v>587</v>
      </c>
      <c r="D244" s="3" t="str">
        <f aca="false">IF(LEFT(C244,3)="09S",LEFT(C244,14),C244)</f>
        <v>09S29QBR811972</v>
      </c>
      <c r="E244" s="9" t="str">
        <f aca="false">IF(LEFT(C244,3)="09S",MID(C244,15,5),"")</f>
        <v>K</v>
      </c>
      <c r="F244" s="9" t="n">
        <v>503653</v>
      </c>
      <c r="G244" s="3" t="s">
        <v>446</v>
      </c>
      <c r="H244" s="3" t="str">
        <f aca="false">IFERROR(INDEX(Sistema!$F$2:$F$421,MATCH(D244,Sistema!$G$2:$G$421,0)),"Não encontrado")</f>
        <v>Carrinho 10 - MARROM</v>
      </c>
      <c r="I244" s="3" t="str">
        <f aca="false">IFERROR(INDEX(Sistema!$C$2:$C$421,MATCH(D244,Sistema!$G$2:$G$421,0)),"")</f>
        <v>Samsung Chromebook 4 - 2021/Lote 1</v>
      </c>
      <c r="J244" s="9" t="str">
        <f aca="false">IF(LEFT(C244,3)="09S",IFERROR(MID(INDEX(Sistema!$D$2:$D$421,MATCH(D244,Sistema!$G$2:$G$421,0)),15,5),""),"")</f>
        <v/>
      </c>
      <c r="K244" s="9" t="str">
        <f aca="false">IF(H244="Não encontrado","Não encontrado",IF(H244&lt;&gt;A244,"Local diferente",IF(AND(E244&lt;&gt;"",J244&lt;&gt;"",UPPER(E244)&lt;&gt;UPPER(J244)),"Letra final diferente","Confere")))</f>
        <v>Confere</v>
      </c>
      <c r="L244" s="10"/>
      <c r="M244" s="10"/>
    </row>
    <row r="245" customFormat="false" ht="15" hidden="false" customHeight="false" outlineLevel="0" collapsed="false">
      <c r="A245" s="3" t="s">
        <v>17</v>
      </c>
      <c r="B245" s="9" t="n">
        <v>23</v>
      </c>
      <c r="C245" s="3" t="s">
        <v>588</v>
      </c>
      <c r="D245" s="3" t="str">
        <f aca="false">IF(LEFT(C245,3)="09S",LEFT(C245,14),C245)</f>
        <v>09S29QBR811814</v>
      </c>
      <c r="E245" s="9" t="str">
        <f aca="false">IF(LEFT(C245,3)="09S",MID(C245,15,5),"")</f>
        <v>A</v>
      </c>
      <c r="F245" s="9" t="n">
        <v>503650</v>
      </c>
      <c r="G245" s="3" t="s">
        <v>446</v>
      </c>
      <c r="H245" s="3" t="str">
        <f aca="false">IFERROR(INDEX(Sistema!$F$2:$F$421,MATCH(D245,Sistema!$G$2:$G$421,0)),"Não encontrado")</f>
        <v>Carrinho 10 - MARROM</v>
      </c>
      <c r="I245" s="3" t="str">
        <f aca="false">IFERROR(INDEX(Sistema!$C$2:$C$421,MATCH(D245,Sistema!$G$2:$G$421,0)),"")</f>
        <v>Samsung Chromebook 4 - 2021/Lote 1</v>
      </c>
      <c r="J245" s="9" t="str">
        <f aca="false">IF(LEFT(C245,3)="09S",IFERROR(MID(INDEX(Sistema!$D$2:$D$421,MATCH(D245,Sistema!$G$2:$G$421,0)),15,5),""),"")</f>
        <v/>
      </c>
      <c r="K245" s="9" t="str">
        <f aca="false">IF(H245="Não encontrado","Não encontrado",IF(H245&lt;&gt;A245,"Local diferente",IF(AND(E245&lt;&gt;"",J245&lt;&gt;"",UPPER(E245)&lt;&gt;UPPER(J245)),"Letra final diferente","Confere")))</f>
        <v>Confere</v>
      </c>
      <c r="L245" s="10"/>
      <c r="M245" s="10"/>
    </row>
    <row r="246" customFormat="false" ht="15" hidden="false" customHeight="false" outlineLevel="0" collapsed="false">
      <c r="A246" s="3" t="s">
        <v>17</v>
      </c>
      <c r="B246" s="9" t="n">
        <v>24</v>
      </c>
      <c r="C246" s="3" t="s">
        <v>589</v>
      </c>
      <c r="D246" s="3" t="str">
        <f aca="false">IF(LEFT(C246,3)="09S",LEFT(C246,14),C246)</f>
        <v>09S29QBR702100</v>
      </c>
      <c r="E246" s="9" t="str">
        <f aca="false">IF(LEFT(C246,3)="09S",MID(C246,15,5),"")</f>
        <v>R</v>
      </c>
      <c r="F246" s="9" t="n">
        <v>505196</v>
      </c>
      <c r="G246" s="3" t="s">
        <v>446</v>
      </c>
      <c r="H246" s="3" t="str">
        <f aca="false">IFERROR(INDEX(Sistema!$F$2:$F$421,MATCH(D246,Sistema!$G$2:$G$421,0)),"Não encontrado")</f>
        <v>Carrinho 10 - MARROM</v>
      </c>
      <c r="I246" s="3" t="str">
        <f aca="false">IFERROR(INDEX(Sistema!$C$2:$C$421,MATCH(D246,Sistema!$G$2:$G$421,0)),"")</f>
        <v>Samsung Chromebook 4 - 2021/Lote 1</v>
      </c>
      <c r="J246" s="9" t="str">
        <f aca="false">IF(LEFT(C246,3)="09S",IFERROR(MID(INDEX(Sistema!$D$2:$D$421,MATCH(D246,Sistema!$G$2:$G$421,0)),15,5),""),"")</f>
        <v/>
      </c>
      <c r="K246" s="9" t="str">
        <f aca="false">IF(H246="Não encontrado","Não encontrado",IF(H246&lt;&gt;A246,"Local diferente",IF(AND(E246&lt;&gt;"",J246&lt;&gt;"",UPPER(E246)&lt;&gt;UPPER(J246)),"Letra final diferente","Confere")))</f>
        <v>Confere</v>
      </c>
      <c r="L246" s="10"/>
      <c r="M246" s="10"/>
    </row>
    <row r="247" customFormat="false" ht="15" hidden="false" customHeight="false" outlineLevel="0" collapsed="false">
      <c r="A247" s="3" t="s">
        <v>18</v>
      </c>
      <c r="B247" s="9" t="n">
        <v>1</v>
      </c>
      <c r="C247" s="3" t="s">
        <v>590</v>
      </c>
      <c r="D247" s="3" t="str">
        <f aca="false">IF(LEFT(C247,3)="09S",LEFT(C247,14),C247)</f>
        <v>09S29QBR811838</v>
      </c>
      <c r="E247" s="9" t="str">
        <f aca="false">IF(LEFT(C247,3)="09S",MID(C247,15,5),"")</f>
        <v>H</v>
      </c>
      <c r="F247" s="9" t="n">
        <v>503639</v>
      </c>
      <c r="G247" s="3" t="s">
        <v>446</v>
      </c>
      <c r="H247" s="3" t="str">
        <f aca="false">IFERROR(INDEX(Sistema!$F$2:$F$421,MATCH(D247,Sistema!$G$2:$G$421,0)),"Não encontrado")</f>
        <v>Carrinho 11 - PRETO</v>
      </c>
      <c r="I247" s="3" t="str">
        <f aca="false">IFERROR(INDEX(Sistema!$C$2:$C$421,MATCH(D247,Sistema!$G$2:$G$421,0)),"")</f>
        <v>Samsung Chromebook 4 - 2021/Lote 1</v>
      </c>
      <c r="J247" s="9" t="str">
        <f aca="false">IF(LEFT(C247,3)="09S",IFERROR(MID(INDEX(Sistema!$D$2:$D$421,MATCH(D247,Sistema!$G$2:$G$421,0)),15,5),""),"")</f>
        <v/>
      </c>
      <c r="K247" s="9" t="str">
        <f aca="false">IF(H247="Não encontrado","Não encontrado",IF(H247&lt;&gt;A247,"Local diferente",IF(AND(E247&lt;&gt;"",J247&lt;&gt;"",UPPER(E247)&lt;&gt;UPPER(J247)),"Letra final diferente","Confere")))</f>
        <v>Confere</v>
      </c>
      <c r="L247" s="10"/>
      <c r="M247" s="10"/>
    </row>
    <row r="248" customFormat="false" ht="15" hidden="false" customHeight="false" outlineLevel="0" collapsed="false">
      <c r="A248" s="3" t="s">
        <v>18</v>
      </c>
      <c r="B248" s="9" t="n">
        <v>2</v>
      </c>
      <c r="C248" s="3" t="s">
        <v>591</v>
      </c>
      <c r="D248" s="3" t="str">
        <f aca="false">IF(LEFT(C248,3)="09S",LEFT(C248,14),C248)</f>
        <v>09S29QAR700143</v>
      </c>
      <c r="E248" s="9" t="str">
        <f aca="false">IF(LEFT(C248,3)="09S",MID(C248,15,5),"")</f>
        <v>R</v>
      </c>
      <c r="F248" s="9" t="n">
        <v>504996</v>
      </c>
      <c r="G248" s="3" t="s">
        <v>446</v>
      </c>
      <c r="H248" s="3" t="str">
        <f aca="false">IFERROR(INDEX(Sistema!$F$2:$F$421,MATCH(D248,Sistema!$G$2:$G$421,0)),"Não encontrado")</f>
        <v>Carrinho 11 - PRETO</v>
      </c>
      <c r="I248" s="3" t="str">
        <f aca="false">IFERROR(INDEX(Sistema!$C$2:$C$421,MATCH(D248,Sistema!$G$2:$G$421,0)),"")</f>
        <v>Samsung Chromebook 4 - 2021/Lote 1</v>
      </c>
      <c r="J248" s="9" t="str">
        <f aca="false">IF(LEFT(C248,3)="09S",IFERROR(MID(INDEX(Sistema!$D$2:$D$421,MATCH(D248,Sistema!$G$2:$G$421,0)),15,5),""),"")</f>
        <v/>
      </c>
      <c r="K248" s="9" t="str">
        <f aca="false">IF(H248="Não encontrado","Não encontrado",IF(H248&lt;&gt;A248,"Local diferente",IF(AND(E248&lt;&gt;"",J248&lt;&gt;"",UPPER(E248)&lt;&gt;UPPER(J248)),"Letra final diferente","Confere")))</f>
        <v>Confere</v>
      </c>
      <c r="L248" s="10"/>
      <c r="M248" s="10"/>
    </row>
    <row r="249" customFormat="false" ht="15" hidden="false" customHeight="false" outlineLevel="0" collapsed="false">
      <c r="A249" s="3" t="s">
        <v>18</v>
      </c>
      <c r="B249" s="9" t="n">
        <v>3</v>
      </c>
      <c r="C249" s="3" t="s">
        <v>592</v>
      </c>
      <c r="D249" s="3" t="str">
        <f aca="false">IF(LEFT(C249,3)="09S",LEFT(C249,14),C249)</f>
        <v>09S29QBR723139</v>
      </c>
      <c r="E249" s="9" t="str">
        <f aca="false">IF(LEFT(C249,3)="09S",MID(C249,15,5),"")</f>
        <v>M</v>
      </c>
      <c r="F249" s="9" t="n">
        <v>505214</v>
      </c>
      <c r="G249" s="3" t="s">
        <v>446</v>
      </c>
      <c r="H249" s="3" t="str">
        <f aca="false">IFERROR(INDEX(Sistema!$F$2:$F$421,MATCH(D249,Sistema!$G$2:$G$421,0)),"Não encontrado")</f>
        <v>Carrinho 11 - PRETO</v>
      </c>
      <c r="I249" s="3" t="str">
        <f aca="false">IFERROR(INDEX(Sistema!$C$2:$C$421,MATCH(D249,Sistema!$G$2:$G$421,0)),"")</f>
        <v>Samsung Chromebook 4 - 2021/Lote 1</v>
      </c>
      <c r="J249" s="9" t="str">
        <f aca="false">IF(LEFT(C249,3)="09S",IFERROR(MID(INDEX(Sistema!$D$2:$D$421,MATCH(D249,Sistema!$G$2:$G$421,0)),15,5),""),"")</f>
        <v/>
      </c>
      <c r="K249" s="9" t="str">
        <f aca="false">IF(H249="Não encontrado","Não encontrado",IF(H249&lt;&gt;A249,"Local diferente",IF(AND(E249&lt;&gt;"",J249&lt;&gt;"",UPPER(E249)&lt;&gt;UPPER(J249)),"Letra final diferente","Confere")))</f>
        <v>Confere</v>
      </c>
      <c r="L249" s="10"/>
      <c r="M249" s="10"/>
    </row>
    <row r="250" customFormat="false" ht="15" hidden="false" customHeight="false" outlineLevel="0" collapsed="false">
      <c r="A250" s="3" t="s">
        <v>18</v>
      </c>
      <c r="B250" s="9" t="n">
        <v>4</v>
      </c>
      <c r="C250" s="3" t="s">
        <v>593</v>
      </c>
      <c r="D250" s="3" t="str">
        <f aca="false">IF(LEFT(C250,3)="09S",LEFT(C250,14),C250)</f>
        <v>09S29QBR812084</v>
      </c>
      <c r="E250" s="9" t="str">
        <f aca="false">IF(LEFT(C250,3)="09S",MID(C250,15,5),"")</f>
        <v>A</v>
      </c>
      <c r="F250" s="9" t="n">
        <v>503661</v>
      </c>
      <c r="G250" s="3" t="s">
        <v>446</v>
      </c>
      <c r="H250" s="3" t="str">
        <f aca="false">IFERROR(INDEX(Sistema!$F$2:$F$421,MATCH(D250,Sistema!$G$2:$G$421,0)),"Não encontrado")</f>
        <v>Carrinho 11 - PRETO</v>
      </c>
      <c r="I250" s="3" t="str">
        <f aca="false">IFERROR(INDEX(Sistema!$C$2:$C$421,MATCH(D250,Sistema!$G$2:$G$421,0)),"")</f>
        <v>Samsung Chromebook 4 - 2021/Lote 1</v>
      </c>
      <c r="J250" s="9" t="str">
        <f aca="false">IF(LEFT(C250,3)="09S",IFERROR(MID(INDEX(Sistema!$D$2:$D$421,MATCH(D250,Sistema!$G$2:$G$421,0)),15,5),""),"")</f>
        <v/>
      </c>
      <c r="K250" s="9" t="str">
        <f aca="false">IF(H250="Não encontrado","Não encontrado",IF(H250&lt;&gt;A250,"Local diferente",IF(AND(E250&lt;&gt;"",J250&lt;&gt;"",UPPER(E250)&lt;&gt;UPPER(J250)),"Letra final diferente","Confere")))</f>
        <v>Confere</v>
      </c>
      <c r="L250" s="10"/>
      <c r="M250" s="10"/>
    </row>
    <row r="251" customFormat="false" ht="15" hidden="false" customHeight="false" outlineLevel="0" collapsed="false">
      <c r="A251" s="3" t="s">
        <v>18</v>
      </c>
      <c r="B251" s="9" t="n">
        <v>5</v>
      </c>
      <c r="C251" s="3" t="s">
        <v>594</v>
      </c>
      <c r="D251" s="3" t="str">
        <f aca="false">IF(LEFT(C251,3)="09S",LEFT(C251,14),C251)</f>
        <v>09S29QAR110924</v>
      </c>
      <c r="E251" s="9" t="str">
        <f aca="false">IF(LEFT(C251,3)="09S",MID(C251,15,5),"")</f>
        <v>N</v>
      </c>
      <c r="F251" s="9" t="n">
        <v>382702</v>
      </c>
      <c r="G251" s="3" t="s">
        <v>446</v>
      </c>
      <c r="H251" s="3" t="str">
        <f aca="false">IFERROR(INDEX(Sistema!$F$2:$F$421,MATCH(D251,Sistema!$G$2:$G$421,0)),"Não encontrado")</f>
        <v>Carrinho 11 - PRETO</v>
      </c>
      <c r="I251" s="3" t="str">
        <f aca="false">IFERROR(INDEX(Sistema!$C$2:$C$421,MATCH(D251,Sistema!$G$2:$G$421,0)),"")</f>
        <v>Samsung Chromebook 4</v>
      </c>
      <c r="J251" s="9" t="str">
        <f aca="false">IF(LEFT(C251,3)="09S",IFERROR(MID(INDEX(Sistema!$D$2:$D$421,MATCH(D251,Sistema!$G$2:$G$421,0)),15,5),""),"")</f>
        <v>N</v>
      </c>
      <c r="K251" s="9" t="str">
        <f aca="false">IF(H251="Não encontrado","Não encontrado",IF(H251&lt;&gt;A251,"Local diferente",IF(AND(E251&lt;&gt;"",J251&lt;&gt;"",UPPER(E251)&lt;&gt;UPPER(J251)),"Letra final diferente","Confere")))</f>
        <v>Confere</v>
      </c>
      <c r="L251" s="10"/>
      <c r="M251" s="10"/>
    </row>
    <row r="252" customFormat="false" ht="15" hidden="false" customHeight="false" outlineLevel="0" collapsed="false">
      <c r="A252" s="3" t="s">
        <v>18</v>
      </c>
      <c r="B252" s="9" t="n">
        <v>6</v>
      </c>
      <c r="C252" s="3" t="s">
        <v>595</v>
      </c>
      <c r="D252" s="3" t="str">
        <f aca="false">IF(LEFT(C252,3)="09S",LEFT(C252,14),C252)</f>
        <v>09S29QBR702047</v>
      </c>
      <c r="E252" s="9" t="str">
        <f aca="false">IF(LEFT(C252,3)="09S",MID(C252,15,5),"")</f>
        <v>T</v>
      </c>
      <c r="F252" s="9" t="n">
        <v>505099</v>
      </c>
      <c r="G252" s="3" t="s">
        <v>446</v>
      </c>
      <c r="H252" s="3" t="str">
        <f aca="false">IFERROR(INDEX(Sistema!$F$2:$F$421,MATCH(D252,Sistema!$G$2:$G$421,0)),"Não encontrado")</f>
        <v>Carrinho 11 - PRETO</v>
      </c>
      <c r="I252" s="3" t="str">
        <f aca="false">IFERROR(INDEX(Sistema!$C$2:$C$421,MATCH(D252,Sistema!$G$2:$G$421,0)),"")</f>
        <v>Samsung Chromebook 4 - 2021/Lote 1</v>
      </c>
      <c r="J252" s="9" t="str">
        <f aca="false">IF(LEFT(C252,3)="09S",IFERROR(MID(INDEX(Sistema!$D$2:$D$421,MATCH(D252,Sistema!$G$2:$G$421,0)),15,5),""),"")</f>
        <v/>
      </c>
      <c r="K252" s="9" t="str">
        <f aca="false">IF(H252="Não encontrado","Não encontrado",IF(H252&lt;&gt;A252,"Local diferente",IF(AND(E252&lt;&gt;"",J252&lt;&gt;"",UPPER(E252)&lt;&gt;UPPER(J252)),"Letra final diferente","Confere")))</f>
        <v>Confere</v>
      </c>
      <c r="L252" s="10"/>
      <c r="M252" s="10"/>
    </row>
    <row r="253" customFormat="false" ht="15" hidden="false" customHeight="false" outlineLevel="0" collapsed="false">
      <c r="A253" s="3" t="s">
        <v>18</v>
      </c>
      <c r="B253" s="9" t="n">
        <v>7</v>
      </c>
      <c r="C253" s="3" t="s">
        <v>596</v>
      </c>
      <c r="D253" s="3" t="str">
        <f aca="false">IF(LEFT(C253,3)="09S",LEFT(C253,14),C253)</f>
        <v>09S29QBR811681</v>
      </c>
      <c r="E253" s="9" t="str">
        <f aca="false">IF(LEFT(C253,3)="09S",MID(C253,15,5),"")</f>
        <v>B</v>
      </c>
      <c r="F253" s="9" t="n">
        <v>503656</v>
      </c>
      <c r="G253" s="3" t="s">
        <v>446</v>
      </c>
      <c r="H253" s="3" t="str">
        <f aca="false">IFERROR(INDEX(Sistema!$F$2:$F$421,MATCH(D253,Sistema!$G$2:$G$421,0)),"Não encontrado")</f>
        <v>Carrinho 11 - PRETO</v>
      </c>
      <c r="I253" s="3" t="str">
        <f aca="false">IFERROR(INDEX(Sistema!$C$2:$C$421,MATCH(D253,Sistema!$G$2:$G$421,0)),"")</f>
        <v>Samsung Chromebook 4 - 2021/Lote 1</v>
      </c>
      <c r="J253" s="9" t="str">
        <f aca="false">IF(LEFT(C253,3)="09S",IFERROR(MID(INDEX(Sistema!$D$2:$D$421,MATCH(D253,Sistema!$G$2:$G$421,0)),15,5),""),"")</f>
        <v/>
      </c>
      <c r="K253" s="9" t="str">
        <f aca="false">IF(H253="Não encontrado","Não encontrado",IF(H253&lt;&gt;A253,"Local diferente",IF(AND(E253&lt;&gt;"",J253&lt;&gt;"",UPPER(E253)&lt;&gt;UPPER(J253)),"Letra final diferente","Confere")))</f>
        <v>Confere</v>
      </c>
      <c r="L253" s="10"/>
      <c r="M253" s="10"/>
    </row>
    <row r="254" customFormat="false" ht="15" hidden="false" customHeight="false" outlineLevel="0" collapsed="false">
      <c r="A254" s="3" t="s">
        <v>18</v>
      </c>
      <c r="B254" s="9" t="n">
        <v>8</v>
      </c>
      <c r="C254" s="3" t="s">
        <v>597</v>
      </c>
      <c r="D254" s="3" t="str">
        <f aca="false">IF(LEFT(C254,3)="09S",LEFT(C254,14),C254)</f>
        <v>09S29QBR723438</v>
      </c>
      <c r="E254" s="9" t="str">
        <f aca="false">IF(LEFT(C254,3)="09S",MID(C254,15,5),"")</f>
        <v>R</v>
      </c>
      <c r="F254" s="9" t="n">
        <v>503668</v>
      </c>
      <c r="G254" s="3" t="s">
        <v>446</v>
      </c>
      <c r="H254" s="3" t="str">
        <f aca="false">IFERROR(INDEX(Sistema!$F$2:$F$421,MATCH(D254,Sistema!$G$2:$G$421,0)),"Não encontrado")</f>
        <v>Carrinho 11 - PRETO</v>
      </c>
      <c r="I254" s="3" t="str">
        <f aca="false">IFERROR(INDEX(Sistema!$C$2:$C$421,MATCH(D254,Sistema!$G$2:$G$421,0)),"")</f>
        <v>Samsung Chromebook 4 - 2021/Lote 1</v>
      </c>
      <c r="J254" s="9" t="str">
        <f aca="false">IF(LEFT(C254,3)="09S",IFERROR(MID(INDEX(Sistema!$D$2:$D$421,MATCH(D254,Sistema!$G$2:$G$421,0)),15,5),""),"")</f>
        <v/>
      </c>
      <c r="K254" s="9" t="str">
        <f aca="false">IF(H254="Não encontrado","Não encontrado",IF(H254&lt;&gt;A254,"Local diferente",IF(AND(E254&lt;&gt;"",J254&lt;&gt;"",UPPER(E254)&lt;&gt;UPPER(J254)),"Letra final diferente","Confere")))</f>
        <v>Confere</v>
      </c>
      <c r="L254" s="10"/>
      <c r="M254" s="10"/>
    </row>
    <row r="255" customFormat="false" ht="15" hidden="false" customHeight="false" outlineLevel="0" collapsed="false">
      <c r="A255" s="3" t="s">
        <v>18</v>
      </c>
      <c r="B255" s="9" t="n">
        <v>9</v>
      </c>
      <c r="C255" s="3" t="s">
        <v>598</v>
      </c>
      <c r="D255" s="3" t="str">
        <f aca="false">IF(LEFT(C255,3)="09S",LEFT(C255,14),C255)</f>
        <v>09S29QBR810897</v>
      </c>
      <c r="E255" s="9" t="str">
        <f aca="false">IF(LEFT(C255,3)="09S",MID(C255,15,5),"")</f>
        <v>B</v>
      </c>
      <c r="F255" s="9" t="n">
        <v>503766</v>
      </c>
      <c r="G255" s="3" t="s">
        <v>446</v>
      </c>
      <c r="H255" s="3" t="str">
        <f aca="false">IFERROR(INDEX(Sistema!$F$2:$F$421,MATCH(D255,Sistema!$G$2:$G$421,0)),"Não encontrado")</f>
        <v>Carrinho 11 - PRETO</v>
      </c>
      <c r="I255" s="3" t="str">
        <f aca="false">IFERROR(INDEX(Sistema!$C$2:$C$421,MATCH(D255,Sistema!$G$2:$G$421,0)),"")</f>
        <v>Samsung Chromebook 4 - 2021/Lote 1</v>
      </c>
      <c r="J255" s="9" t="str">
        <f aca="false">IF(LEFT(C255,3)="09S",IFERROR(MID(INDEX(Sistema!$D$2:$D$421,MATCH(D255,Sistema!$G$2:$G$421,0)),15,5),""),"")</f>
        <v/>
      </c>
      <c r="K255" s="9" t="str">
        <f aca="false">IF(H255="Não encontrado","Não encontrado",IF(H255&lt;&gt;A255,"Local diferente",IF(AND(E255&lt;&gt;"",J255&lt;&gt;"",UPPER(E255)&lt;&gt;UPPER(J255)),"Letra final diferente","Confere")))</f>
        <v>Confere</v>
      </c>
      <c r="L255" s="10"/>
      <c r="M255" s="10"/>
    </row>
    <row r="256" customFormat="false" ht="15" hidden="false" customHeight="false" outlineLevel="0" collapsed="false">
      <c r="A256" s="3" t="s">
        <v>18</v>
      </c>
      <c r="B256" s="9" t="n">
        <v>10</v>
      </c>
      <c r="C256" s="3" t="s">
        <v>599</v>
      </c>
      <c r="D256" s="3" t="str">
        <f aca="false">IF(LEFT(C256,3)="09S",LEFT(C256,14),C256)</f>
        <v>09S29QBR712930</v>
      </c>
      <c r="E256" s="9" t="str">
        <f aca="false">IF(LEFT(C256,3)="09S",MID(C256,15,5),"")</f>
        <v>A</v>
      </c>
      <c r="F256" s="9" t="n">
        <v>503605</v>
      </c>
      <c r="G256" s="3" t="s">
        <v>446</v>
      </c>
      <c r="H256" s="3" t="str">
        <f aca="false">IFERROR(INDEX(Sistema!$F$2:$F$421,MATCH(D256,Sistema!$G$2:$G$421,0)),"Não encontrado")</f>
        <v>Carrinho 11 - PRETO</v>
      </c>
      <c r="I256" s="3" t="str">
        <f aca="false">IFERROR(INDEX(Sistema!$C$2:$C$421,MATCH(D256,Sistema!$G$2:$G$421,0)),"")</f>
        <v>Samsung Chromebook 4 - 2021/Lote 1</v>
      </c>
      <c r="J256" s="9" t="str">
        <f aca="false">IF(LEFT(C256,3)="09S",IFERROR(MID(INDEX(Sistema!$D$2:$D$421,MATCH(D256,Sistema!$G$2:$G$421,0)),15,5),""),"")</f>
        <v/>
      </c>
      <c r="K256" s="9" t="str">
        <f aca="false">IF(H256="Não encontrado","Não encontrado",IF(H256&lt;&gt;A256,"Local diferente",IF(AND(E256&lt;&gt;"",J256&lt;&gt;"",UPPER(E256)&lt;&gt;UPPER(J256)),"Letra final diferente","Confere")))</f>
        <v>Confere</v>
      </c>
      <c r="L256" s="10"/>
      <c r="M256" s="10"/>
    </row>
    <row r="257" customFormat="false" ht="15" hidden="false" customHeight="false" outlineLevel="0" collapsed="false">
      <c r="A257" s="3" t="s">
        <v>18</v>
      </c>
      <c r="B257" s="9" t="n">
        <v>11</v>
      </c>
      <c r="C257" s="3" t="s">
        <v>600</v>
      </c>
      <c r="D257" s="3" t="str">
        <f aca="false">IF(LEFT(C257,3)="09S",LEFT(C257,14),C257)</f>
        <v>09S29QAR804604</v>
      </c>
      <c r="E257" s="9" t="str">
        <f aca="false">IF(LEFT(C257,3)="09S",MID(C257,15,5),"")</f>
        <v>F</v>
      </c>
      <c r="F257" s="9" t="n">
        <v>505225</v>
      </c>
      <c r="G257" s="3" t="s">
        <v>446</v>
      </c>
      <c r="H257" s="3" t="str">
        <f aca="false">IFERROR(INDEX(Sistema!$F$2:$F$421,MATCH(D257,Sistema!$G$2:$G$421,0)),"Não encontrado")</f>
        <v>Carrinho 11 - PRETO</v>
      </c>
      <c r="I257" s="3" t="str">
        <f aca="false">IFERROR(INDEX(Sistema!$C$2:$C$421,MATCH(D257,Sistema!$G$2:$G$421,0)),"")</f>
        <v>Samsung Chromebook 4 - 2021/Lote 1</v>
      </c>
      <c r="J257" s="9" t="str">
        <f aca="false">IF(LEFT(C257,3)="09S",IFERROR(MID(INDEX(Sistema!$D$2:$D$421,MATCH(D257,Sistema!$G$2:$G$421,0)),15,5),""),"")</f>
        <v/>
      </c>
      <c r="K257" s="9" t="str">
        <f aca="false">IF(H257="Não encontrado","Não encontrado",IF(H257&lt;&gt;A257,"Local diferente",IF(AND(E257&lt;&gt;"",J257&lt;&gt;"",UPPER(E257)&lt;&gt;UPPER(J257)),"Letra final diferente","Confere")))</f>
        <v>Confere</v>
      </c>
      <c r="L257" s="10"/>
      <c r="M257" s="10"/>
    </row>
    <row r="258" customFormat="false" ht="15" hidden="false" customHeight="false" outlineLevel="0" collapsed="false">
      <c r="A258" s="3" t="s">
        <v>18</v>
      </c>
      <c r="B258" s="9" t="n">
        <v>12</v>
      </c>
      <c r="C258" s="3" t="s">
        <v>601</v>
      </c>
      <c r="D258" s="3" t="str">
        <f aca="false">IF(LEFT(C258,3)="09S",LEFT(C258,14),C258)</f>
        <v>09S29QBR722497</v>
      </c>
      <c r="E258" s="9" t="str">
        <f aca="false">IF(LEFT(C258,3)="09S",MID(C258,15,5),"")</f>
        <v>F</v>
      </c>
      <c r="F258" s="9" t="n">
        <v>505150</v>
      </c>
      <c r="G258" s="3" t="s">
        <v>446</v>
      </c>
      <c r="H258" s="3" t="str">
        <f aca="false">IFERROR(INDEX(Sistema!$F$2:$F$421,MATCH(D258,Sistema!$G$2:$G$421,0)),"Não encontrado")</f>
        <v>Carrinho 11 - PRETO</v>
      </c>
      <c r="I258" s="3" t="str">
        <f aca="false">IFERROR(INDEX(Sistema!$C$2:$C$421,MATCH(D258,Sistema!$G$2:$G$421,0)),"")</f>
        <v>Samsung Chromebook 4 - 2021/Lote 1</v>
      </c>
      <c r="J258" s="9" t="str">
        <f aca="false">IF(LEFT(C258,3)="09S",IFERROR(MID(INDEX(Sistema!$D$2:$D$421,MATCH(D258,Sistema!$G$2:$G$421,0)),15,5),""),"")</f>
        <v/>
      </c>
      <c r="K258" s="9" t="str">
        <f aca="false">IF(H258="Não encontrado","Não encontrado",IF(H258&lt;&gt;A258,"Local diferente",IF(AND(E258&lt;&gt;"",J258&lt;&gt;"",UPPER(E258)&lt;&gt;UPPER(J258)),"Letra final diferente","Confere")))</f>
        <v>Confere</v>
      </c>
      <c r="L258" s="10"/>
      <c r="M258" s="10"/>
    </row>
    <row r="259" customFormat="false" ht="15" hidden="false" customHeight="false" outlineLevel="0" collapsed="false">
      <c r="A259" s="3" t="s">
        <v>18</v>
      </c>
      <c r="B259" s="9" t="n">
        <v>13</v>
      </c>
      <c r="C259" s="3" t="s">
        <v>602</v>
      </c>
      <c r="D259" s="3" t="str">
        <f aca="false">IF(LEFT(C259,3)="09S",LEFT(C259,14),C259)</f>
        <v>09S29QANC07320</v>
      </c>
      <c r="E259" s="9" t="str">
        <f aca="false">IF(LEFT(C259,3)="09S",MID(C259,15,5),"")</f>
        <v>Y</v>
      </c>
      <c r="F259" s="9" t="n">
        <v>382922</v>
      </c>
      <c r="G259" s="3" t="s">
        <v>446</v>
      </c>
      <c r="H259" s="3" t="str">
        <f aca="false">IFERROR(INDEX(Sistema!$F$2:$F$421,MATCH(D259,Sistema!$G$2:$G$421,0)),"Não encontrado")</f>
        <v>Carrinho 11 - PRETO</v>
      </c>
      <c r="I259" s="3" t="str">
        <f aca="false">IFERROR(INDEX(Sistema!$C$2:$C$421,MATCH(D259,Sistema!$G$2:$G$421,0)),"")</f>
        <v>Samsung Chromebook 4</v>
      </c>
      <c r="J259" s="9" t="str">
        <f aca="false">IF(LEFT(C259,3)="09S",IFERROR(MID(INDEX(Sistema!$D$2:$D$421,MATCH(D259,Sistema!$G$2:$G$421,0)),15,5),""),"")</f>
        <v>Y</v>
      </c>
      <c r="K259" s="9" t="str">
        <f aca="false">IF(H259="Não encontrado","Não encontrado",IF(H259&lt;&gt;A259,"Local diferente",IF(AND(E259&lt;&gt;"",J259&lt;&gt;"",UPPER(E259)&lt;&gt;UPPER(J259)),"Letra final diferente","Confere")))</f>
        <v>Confere</v>
      </c>
      <c r="L259" s="10"/>
      <c r="M259" s="10"/>
    </row>
    <row r="260" customFormat="false" ht="15" hidden="false" customHeight="false" outlineLevel="0" collapsed="false">
      <c r="A260" s="3" t="s">
        <v>18</v>
      </c>
      <c r="B260" s="9" t="n">
        <v>14</v>
      </c>
      <c r="C260" s="3" t="s">
        <v>603</v>
      </c>
      <c r="D260" s="3" t="str">
        <f aca="false">IF(LEFT(C260,3)="09S",LEFT(C260,14),C260)</f>
        <v>09S29QBR711965</v>
      </c>
      <c r="E260" s="9" t="str">
        <f aca="false">IF(LEFT(C260,3)="09S",MID(C260,15,5),"")</f>
        <v>L</v>
      </c>
      <c r="F260" s="9" t="n">
        <v>503710</v>
      </c>
      <c r="G260" s="3" t="s">
        <v>446</v>
      </c>
      <c r="H260" s="3" t="str">
        <f aca="false">IFERROR(INDEX(Sistema!$F$2:$F$421,MATCH(D260,Sistema!$G$2:$G$421,0)),"Não encontrado")</f>
        <v>Carrinho 11 - PRETO</v>
      </c>
      <c r="I260" s="3" t="str">
        <f aca="false">IFERROR(INDEX(Sistema!$C$2:$C$421,MATCH(D260,Sistema!$G$2:$G$421,0)),"")</f>
        <v>Samsung Chromebook 4 - 2021/Lote 1</v>
      </c>
      <c r="J260" s="9" t="str">
        <f aca="false">IF(LEFT(C260,3)="09S",IFERROR(MID(INDEX(Sistema!$D$2:$D$421,MATCH(D260,Sistema!$G$2:$G$421,0)),15,5),""),"")</f>
        <v/>
      </c>
      <c r="K260" s="9" t="str">
        <f aca="false">IF(H260="Não encontrado","Não encontrado",IF(H260&lt;&gt;A260,"Local diferente",IF(AND(E260&lt;&gt;"",J260&lt;&gt;"",UPPER(E260)&lt;&gt;UPPER(J260)),"Letra final diferente","Confere")))</f>
        <v>Confere</v>
      </c>
      <c r="L260" s="10"/>
      <c r="M260" s="10"/>
    </row>
    <row r="261" customFormat="false" ht="15" hidden="false" customHeight="false" outlineLevel="0" collapsed="false">
      <c r="A261" s="3" t="s">
        <v>18</v>
      </c>
      <c r="B261" s="9" t="n">
        <v>15</v>
      </c>
      <c r="C261" s="3" t="s">
        <v>604</v>
      </c>
      <c r="D261" s="3" t="str">
        <f aca="false">IF(LEFT(C261,3)="09S",LEFT(C261,14),C261)</f>
        <v>09S29QBR811864</v>
      </c>
      <c r="E261" s="9" t="str">
        <f aca="false">IF(LEFT(C261,3)="09S",MID(C261,15,5),"")</f>
        <v>X</v>
      </c>
      <c r="F261" s="9" t="n">
        <v>503649</v>
      </c>
      <c r="G261" s="3" t="s">
        <v>446</v>
      </c>
      <c r="H261" s="3" t="str">
        <f aca="false">IFERROR(INDEX(Sistema!$F$2:$F$421,MATCH(D261,Sistema!$G$2:$G$421,0)),"Não encontrado")</f>
        <v>Carrinho 11 - PRETO</v>
      </c>
      <c r="I261" s="3" t="str">
        <f aca="false">IFERROR(INDEX(Sistema!$C$2:$C$421,MATCH(D261,Sistema!$G$2:$G$421,0)),"")</f>
        <v>Samsung Chromebook 4 - 2021/Lote 1</v>
      </c>
      <c r="J261" s="9" t="str">
        <f aca="false">IF(LEFT(C261,3)="09S",IFERROR(MID(INDEX(Sistema!$D$2:$D$421,MATCH(D261,Sistema!$G$2:$G$421,0)),15,5),""),"")</f>
        <v/>
      </c>
      <c r="K261" s="9" t="str">
        <f aca="false">IF(H261="Não encontrado","Não encontrado",IF(H261&lt;&gt;A261,"Local diferente",IF(AND(E261&lt;&gt;"",J261&lt;&gt;"",UPPER(E261)&lt;&gt;UPPER(J261)),"Letra final diferente","Confere")))</f>
        <v>Confere</v>
      </c>
      <c r="L261" s="10"/>
      <c r="M261" s="10"/>
    </row>
    <row r="262" customFormat="false" ht="15" hidden="false" customHeight="false" outlineLevel="0" collapsed="false">
      <c r="A262" s="3" t="s">
        <v>18</v>
      </c>
      <c r="B262" s="9" t="n">
        <v>16</v>
      </c>
      <c r="C262" s="3" t="s">
        <v>605</v>
      </c>
      <c r="D262" s="3" t="str">
        <f aca="false">IF(LEFT(C262,3)="09S",LEFT(C262,14),C262)</f>
        <v>09S29QBR811820</v>
      </c>
      <c r="E262" s="9" t="str">
        <f aca="false">IF(LEFT(C262,3)="09S",MID(C262,15,5),"")</f>
        <v>J</v>
      </c>
      <c r="F262" s="9" t="n">
        <v>503647</v>
      </c>
      <c r="G262" s="3" t="s">
        <v>446</v>
      </c>
      <c r="H262" s="3" t="str">
        <f aca="false">IFERROR(INDEX(Sistema!$F$2:$F$421,MATCH(D262,Sistema!$G$2:$G$421,0)),"Não encontrado")</f>
        <v>Carrinho 11 - PRETO</v>
      </c>
      <c r="I262" s="3" t="str">
        <f aca="false">IFERROR(INDEX(Sistema!$C$2:$C$421,MATCH(D262,Sistema!$G$2:$G$421,0)),"")</f>
        <v>Samsung Chromebook 4 - 2021/Lote 1</v>
      </c>
      <c r="J262" s="9" t="str">
        <f aca="false">IF(LEFT(C262,3)="09S",IFERROR(MID(INDEX(Sistema!$D$2:$D$421,MATCH(D262,Sistema!$G$2:$G$421,0)),15,5),""),"")</f>
        <v/>
      </c>
      <c r="K262" s="9" t="str">
        <f aca="false">IF(H262="Não encontrado","Não encontrado",IF(H262&lt;&gt;A262,"Local diferente",IF(AND(E262&lt;&gt;"",J262&lt;&gt;"",UPPER(E262)&lt;&gt;UPPER(J262)),"Letra final diferente","Confere")))</f>
        <v>Confere</v>
      </c>
      <c r="L262" s="10"/>
      <c r="M262" s="10"/>
    </row>
    <row r="263" customFormat="false" ht="15" hidden="false" customHeight="false" outlineLevel="0" collapsed="false">
      <c r="A263" s="3" t="s">
        <v>18</v>
      </c>
      <c r="B263" s="9" t="n">
        <v>17</v>
      </c>
      <c r="C263" s="3" t="s">
        <v>606</v>
      </c>
      <c r="D263" s="3" t="str">
        <f aca="false">IF(LEFT(C263,3)="09S",LEFT(C263,14),C263)</f>
        <v>09S29QBR811646</v>
      </c>
      <c r="E263" s="9" t="str">
        <f aca="false">IF(LEFT(C263,3)="09S",MID(C263,15,5),"")</f>
        <v>N</v>
      </c>
      <c r="F263" s="9" t="n">
        <v>503646</v>
      </c>
      <c r="G263" s="3" t="s">
        <v>446</v>
      </c>
      <c r="H263" s="3" t="str">
        <f aca="false">IFERROR(INDEX(Sistema!$F$2:$F$421,MATCH(D263,Sistema!$G$2:$G$421,0)),"Não encontrado")</f>
        <v>Carrinho 11 - PRETO</v>
      </c>
      <c r="I263" s="3" t="str">
        <f aca="false">IFERROR(INDEX(Sistema!$C$2:$C$421,MATCH(D263,Sistema!$G$2:$G$421,0)),"")</f>
        <v>Samsung Chromebook 4 - 2021/Lote 1</v>
      </c>
      <c r="J263" s="9" t="str">
        <f aca="false">IF(LEFT(C263,3)="09S",IFERROR(MID(INDEX(Sistema!$D$2:$D$421,MATCH(D263,Sistema!$G$2:$G$421,0)),15,5),""),"")</f>
        <v/>
      </c>
      <c r="K263" s="9" t="str">
        <f aca="false">IF(H263="Não encontrado","Não encontrado",IF(H263&lt;&gt;A263,"Local diferente",IF(AND(E263&lt;&gt;"",J263&lt;&gt;"",UPPER(E263)&lt;&gt;UPPER(J263)),"Letra final diferente","Confere")))</f>
        <v>Confere</v>
      </c>
      <c r="L263" s="10"/>
      <c r="M263" s="10"/>
    </row>
    <row r="264" customFormat="false" ht="15" hidden="false" customHeight="false" outlineLevel="0" collapsed="false">
      <c r="A264" s="3" t="s">
        <v>18</v>
      </c>
      <c r="B264" s="9" t="n">
        <v>18</v>
      </c>
      <c r="C264" s="3" t="s">
        <v>607</v>
      </c>
      <c r="D264" s="3" t="str">
        <f aca="false">IF(LEFT(C264,3)="09S",LEFT(C264,14),C264)</f>
        <v>09S29QBR723294</v>
      </c>
      <c r="E264" s="9" t="str">
        <f aca="false">IF(LEFT(C264,3)="09S",MID(C264,15,5),"")</f>
        <v>F</v>
      </c>
      <c r="F264" s="9" t="n">
        <v>505213</v>
      </c>
      <c r="G264" s="3" t="s">
        <v>446</v>
      </c>
      <c r="H264" s="3" t="str">
        <f aca="false">IFERROR(INDEX(Sistema!$F$2:$F$421,MATCH(D264,Sistema!$G$2:$G$421,0)),"Não encontrado")</f>
        <v>Carrinho 11 - PRETO</v>
      </c>
      <c r="I264" s="3" t="str">
        <f aca="false">IFERROR(INDEX(Sistema!$C$2:$C$421,MATCH(D264,Sistema!$G$2:$G$421,0)),"")</f>
        <v>Samsung Chromebook 4 - 2021/Lote 1</v>
      </c>
      <c r="J264" s="9" t="str">
        <f aca="false">IF(LEFT(C264,3)="09S",IFERROR(MID(INDEX(Sistema!$D$2:$D$421,MATCH(D264,Sistema!$G$2:$G$421,0)),15,5),""),"")</f>
        <v/>
      </c>
      <c r="K264" s="9" t="str">
        <f aca="false">IF(H264="Não encontrado","Não encontrado",IF(H264&lt;&gt;A264,"Local diferente",IF(AND(E264&lt;&gt;"",J264&lt;&gt;"",UPPER(E264)&lt;&gt;UPPER(J264)),"Letra final diferente","Confere")))</f>
        <v>Confere</v>
      </c>
      <c r="L264" s="10"/>
      <c r="M264" s="10"/>
    </row>
    <row r="265" customFormat="false" ht="15" hidden="false" customHeight="false" outlineLevel="0" collapsed="false">
      <c r="A265" s="3" t="s">
        <v>18</v>
      </c>
      <c r="B265" s="9" t="n">
        <v>19</v>
      </c>
      <c r="C265" s="3" t="s">
        <v>608</v>
      </c>
      <c r="D265" s="3" t="str">
        <f aca="false">IF(LEFT(C265,3)="09S",LEFT(C265,14),C265)</f>
        <v>09S29QBR811679</v>
      </c>
      <c r="E265" s="9" t="str">
        <f aca="false">IF(LEFT(C265,3)="09S",MID(C265,15,5),"")</f>
        <v>J</v>
      </c>
      <c r="F265" s="9" t="n">
        <v>503651</v>
      </c>
      <c r="G265" s="3" t="s">
        <v>446</v>
      </c>
      <c r="H265" s="3" t="str">
        <f aca="false">IFERROR(INDEX(Sistema!$F$2:$F$421,MATCH(D265,Sistema!$G$2:$G$421,0)),"Não encontrado")</f>
        <v>Carrinho 11 - PRETO</v>
      </c>
      <c r="I265" s="3" t="str">
        <f aca="false">IFERROR(INDEX(Sistema!$C$2:$C$421,MATCH(D265,Sistema!$G$2:$G$421,0)),"")</f>
        <v>Samsung Chromebook 4 - 2021/Lote 1</v>
      </c>
      <c r="J265" s="9" t="str">
        <f aca="false">IF(LEFT(C265,3)="09S",IFERROR(MID(INDEX(Sistema!$D$2:$D$421,MATCH(D265,Sistema!$G$2:$G$421,0)),15,5),""),"")</f>
        <v/>
      </c>
      <c r="K265" s="9" t="str">
        <f aca="false">IF(H265="Não encontrado","Não encontrado",IF(H265&lt;&gt;A265,"Local diferente",IF(AND(E265&lt;&gt;"",J265&lt;&gt;"",UPPER(E265)&lt;&gt;UPPER(J265)),"Letra final diferente","Confere")))</f>
        <v>Confere</v>
      </c>
      <c r="L265" s="10"/>
      <c r="M265" s="10"/>
    </row>
    <row r="266" customFormat="false" ht="15" hidden="false" customHeight="false" outlineLevel="0" collapsed="false">
      <c r="A266" s="3" t="s">
        <v>18</v>
      </c>
      <c r="B266" s="9" t="n">
        <v>20</v>
      </c>
      <c r="C266" s="3" t="s">
        <v>609</v>
      </c>
      <c r="D266" s="3" t="str">
        <f aca="false">IF(LEFT(C266,3)="09S",LEFT(C266,14),C266)</f>
        <v>09S29QAR110712</v>
      </c>
      <c r="E266" s="9" t="str">
        <f aca="false">IF(LEFT(C266,3)="09S",MID(C266,15,5),"")</f>
        <v>M</v>
      </c>
      <c r="F266" s="9" t="n">
        <v>382724</v>
      </c>
      <c r="G266" s="3" t="s">
        <v>446</v>
      </c>
      <c r="H266" s="3" t="str">
        <f aca="false">IFERROR(INDEX(Sistema!$F$2:$F$421,MATCH(D266,Sistema!$G$2:$G$421,0)),"Não encontrado")</f>
        <v>Carrinho 11 - PRETO</v>
      </c>
      <c r="I266" s="3" t="str">
        <f aca="false">IFERROR(INDEX(Sistema!$C$2:$C$421,MATCH(D266,Sistema!$G$2:$G$421,0)),"")</f>
        <v>Samsung Chromebook 4</v>
      </c>
      <c r="J266" s="9" t="str">
        <f aca="false">IF(LEFT(C266,3)="09S",IFERROR(MID(INDEX(Sistema!$D$2:$D$421,MATCH(D266,Sistema!$G$2:$G$421,0)),15,5),""),"")</f>
        <v>M</v>
      </c>
      <c r="K266" s="9" t="str">
        <f aca="false">IF(H266="Não encontrado","Não encontrado",IF(H266&lt;&gt;A266,"Local diferente",IF(AND(E266&lt;&gt;"",J266&lt;&gt;"",UPPER(E266)&lt;&gt;UPPER(J266)),"Letra final diferente","Confere")))</f>
        <v>Confere</v>
      </c>
      <c r="L266" s="10"/>
      <c r="M266" s="10"/>
    </row>
    <row r="267" customFormat="false" ht="15" hidden="false" customHeight="false" outlineLevel="0" collapsed="false">
      <c r="A267" s="3" t="s">
        <v>18</v>
      </c>
      <c r="B267" s="9" t="n">
        <v>21</v>
      </c>
      <c r="C267" s="3" t="s">
        <v>610</v>
      </c>
      <c r="D267" s="3" t="str">
        <f aca="false">IF(LEFT(C267,3)="09S",LEFT(C267,14),C267)</f>
        <v>09S29QBR706850</v>
      </c>
      <c r="E267" s="9" t="str">
        <f aca="false">IF(LEFT(C267,3)="09S",MID(C267,15,5),"")</f>
        <v>N</v>
      </c>
      <c r="F267" s="9" t="n">
        <v>505228</v>
      </c>
      <c r="G267" s="3" t="s">
        <v>446</v>
      </c>
      <c r="H267" s="3" t="str">
        <f aca="false">IFERROR(INDEX(Sistema!$F$2:$F$421,MATCH(D267,Sistema!$G$2:$G$421,0)),"Não encontrado")</f>
        <v>Carrinho 11 - PRETO</v>
      </c>
      <c r="I267" s="3" t="str">
        <f aca="false">IFERROR(INDEX(Sistema!$C$2:$C$421,MATCH(D267,Sistema!$G$2:$G$421,0)),"")</f>
        <v>Samsung Chromebook 4 - 2021/Lote 1</v>
      </c>
      <c r="J267" s="9" t="str">
        <f aca="false">IF(LEFT(C267,3)="09S",IFERROR(MID(INDEX(Sistema!$D$2:$D$421,MATCH(D267,Sistema!$G$2:$G$421,0)),15,5),""),"")</f>
        <v/>
      </c>
      <c r="K267" s="9" t="str">
        <f aca="false">IF(H267="Não encontrado","Não encontrado",IF(H267&lt;&gt;A267,"Local diferente",IF(AND(E267&lt;&gt;"",J267&lt;&gt;"",UPPER(E267)&lt;&gt;UPPER(J267)),"Letra final diferente","Confere")))</f>
        <v>Confere</v>
      </c>
      <c r="L267" s="10"/>
      <c r="M267" s="10"/>
    </row>
    <row r="268" customFormat="false" ht="15" hidden="false" customHeight="false" outlineLevel="0" collapsed="false">
      <c r="A268" s="3" t="s">
        <v>18</v>
      </c>
      <c r="B268" s="9" t="n">
        <v>22</v>
      </c>
      <c r="C268" s="3" t="s">
        <v>611</v>
      </c>
      <c r="D268" s="3" t="str">
        <f aca="false">IF(LEFT(C268,3)="09S",LEFT(C268,14),C268)</f>
        <v>09S29QAR110542</v>
      </c>
      <c r="E268" s="9" t="str">
        <f aca="false">IF(LEFT(C268,3)="09S",MID(C268,15,5),"")</f>
        <v>D</v>
      </c>
      <c r="F268" s="9" t="n">
        <v>382840</v>
      </c>
      <c r="G268" s="3" t="s">
        <v>446</v>
      </c>
      <c r="H268" s="3" t="str">
        <f aca="false">IFERROR(INDEX(Sistema!$F$2:$F$421,MATCH(D268,Sistema!$G$2:$G$421,0)),"Não encontrado")</f>
        <v>Carrinho 11 - PRETO</v>
      </c>
      <c r="I268" s="3" t="str">
        <f aca="false">IFERROR(INDEX(Sistema!$C$2:$C$421,MATCH(D268,Sistema!$G$2:$G$421,0)),"")</f>
        <v>Samsung Chromebook 4</v>
      </c>
      <c r="J268" s="9" t="str">
        <f aca="false">IF(LEFT(C268,3)="09S",IFERROR(MID(INDEX(Sistema!$D$2:$D$421,MATCH(D268,Sistema!$G$2:$G$421,0)),15,5),""),"")</f>
        <v>D</v>
      </c>
      <c r="K268" s="9" t="str">
        <f aca="false">IF(H268="Não encontrado","Não encontrado",IF(H268&lt;&gt;A268,"Local diferente",IF(AND(E268&lt;&gt;"",J268&lt;&gt;"",UPPER(E268)&lt;&gt;UPPER(J268)),"Letra final diferente","Confere")))</f>
        <v>Confere</v>
      </c>
      <c r="L268" s="10"/>
      <c r="M268" s="10"/>
    </row>
    <row r="269" customFormat="false" ht="15" hidden="false" customHeight="false" outlineLevel="0" collapsed="false">
      <c r="A269" s="3" t="s">
        <v>18</v>
      </c>
      <c r="B269" s="9" t="n">
        <v>23</v>
      </c>
      <c r="C269" s="3" t="s">
        <v>612</v>
      </c>
      <c r="D269" s="3" t="str">
        <f aca="false">IF(LEFT(C269,3)="09S",LEFT(C269,14),C269)</f>
        <v>09S29QBR702113</v>
      </c>
      <c r="E269" s="9" t="str">
        <f aca="false">IF(LEFT(C269,3)="09S",MID(C269,15,5),"")</f>
        <v>R</v>
      </c>
      <c r="F269" s="9" t="n">
        <v>505140</v>
      </c>
      <c r="G269" s="3" t="s">
        <v>446</v>
      </c>
      <c r="H269" s="3" t="str">
        <f aca="false">IFERROR(INDEX(Sistema!$F$2:$F$421,MATCH(D269,Sistema!$G$2:$G$421,0)),"Não encontrado")</f>
        <v>Carrinho 11 - PRETO</v>
      </c>
      <c r="I269" s="3" t="str">
        <f aca="false">IFERROR(INDEX(Sistema!$C$2:$C$421,MATCH(D269,Sistema!$G$2:$G$421,0)),"")</f>
        <v>Samsung Chromebook 4 - 2021/Lote 1</v>
      </c>
      <c r="J269" s="9" t="str">
        <f aca="false">IF(LEFT(C269,3)="09S",IFERROR(MID(INDEX(Sistema!$D$2:$D$421,MATCH(D269,Sistema!$G$2:$G$421,0)),15,5),""),"")</f>
        <v/>
      </c>
      <c r="K269" s="9" t="str">
        <f aca="false">IF(H269="Não encontrado","Não encontrado",IF(H269&lt;&gt;A269,"Local diferente",IF(AND(E269&lt;&gt;"",J269&lt;&gt;"",UPPER(E269)&lt;&gt;UPPER(J269)),"Letra final diferente","Confere")))</f>
        <v>Confere</v>
      </c>
      <c r="L269" s="10"/>
      <c r="M269" s="10"/>
    </row>
    <row r="270" customFormat="false" ht="15" hidden="false" customHeight="false" outlineLevel="0" collapsed="false">
      <c r="A270" s="3" t="s">
        <v>18</v>
      </c>
      <c r="B270" s="9" t="n">
        <v>24</v>
      </c>
      <c r="C270" s="3" t="s">
        <v>613</v>
      </c>
      <c r="D270" s="3" t="str">
        <f aca="false">IF(LEFT(C270,3)="09S",LEFT(C270,14),C270)</f>
        <v>09S29QBR723302</v>
      </c>
      <c r="E270" s="9" t="str">
        <f aca="false">IF(LEFT(C270,3)="09S",MID(C270,15,5),"")</f>
        <v>E</v>
      </c>
      <c r="F270" s="9" t="n">
        <v>505102</v>
      </c>
      <c r="G270" s="3" t="s">
        <v>446</v>
      </c>
      <c r="H270" s="3" t="str">
        <f aca="false">IFERROR(INDEX(Sistema!$F$2:$F$421,MATCH(D270,Sistema!$G$2:$G$421,0)),"Não encontrado")</f>
        <v>Carrinho 11 - PRETO</v>
      </c>
      <c r="I270" s="3" t="str">
        <f aca="false">IFERROR(INDEX(Sistema!$C$2:$C$421,MATCH(D270,Sistema!$G$2:$G$421,0)),"")</f>
        <v>Samsung Chromebook 4 - 2021/Lote 1</v>
      </c>
      <c r="J270" s="9" t="str">
        <f aca="false">IF(LEFT(C270,3)="09S",IFERROR(MID(INDEX(Sistema!$D$2:$D$421,MATCH(D270,Sistema!$G$2:$G$421,0)),15,5),""),"")</f>
        <v/>
      </c>
      <c r="K270" s="9" t="str">
        <f aca="false">IF(H270="Não encontrado","Não encontrado",IF(H270&lt;&gt;A270,"Local diferente",IF(AND(E270&lt;&gt;"",J270&lt;&gt;"",UPPER(E270)&lt;&gt;UPPER(J270)),"Letra final diferente","Confere")))</f>
        <v>Confere</v>
      </c>
      <c r="L270" s="10"/>
      <c r="M270" s="10"/>
    </row>
    <row r="271" customFormat="false" ht="39.55" hidden="false" customHeight="false" outlineLevel="0" collapsed="false">
      <c r="A271" s="3" t="s">
        <v>19</v>
      </c>
      <c r="B271" s="9" t="n">
        <v>1</v>
      </c>
      <c r="C271" s="3" t="s">
        <v>170</v>
      </c>
      <c r="D271" s="3" t="str">
        <f aca="false">IF(LEFT(C271,3)="09S",LEFT(C271,14),C271)</f>
        <v>NXH0HAL001838E68C9501</v>
      </c>
      <c r="E271" s="9" t="str">
        <f aca="false">IF(LEFT(C271,3)="09S",MID(C271,15,5),"")</f>
        <v/>
      </c>
      <c r="F271" s="9" t="n">
        <v>415274</v>
      </c>
      <c r="G271" s="3" t="s">
        <v>328</v>
      </c>
      <c r="H271" s="3" t="str">
        <f aca="false">IFERROR(INDEX(Sistema!$F$2:$F$421,MATCH(D271,Sistema!$G$2:$G$421,0)),"Não encontrado")</f>
        <v>Não encontrado</v>
      </c>
      <c r="I271" s="3" t="str">
        <f aca="false">IFERROR(INDEX(Sistema!$C$2:$C$421,MATCH(D271,Sistema!$G$2:$G$421,0)),"")</f>
        <v/>
      </c>
      <c r="J271" s="9" t="str">
        <f aca="false">IF(LEFT(C271,3)="09S",IFERROR(MID(INDEX(Sistema!$D$2:$D$421,MATCH(D271,Sistema!$G$2:$G$421,0)),15,5),""),"")</f>
        <v/>
      </c>
      <c r="K271" s="9" t="str">
        <f aca="false">IF(H271="Não encontrado","Não encontrado",IF(H271&lt;&gt;A271,"Local diferente",IF(AND(E271&lt;&gt;"",J271&lt;&gt;"",UPPER(E271)&lt;&gt;UPPER(J271)),"Letra final diferente","Confere")))</f>
        <v>Não encontrado</v>
      </c>
      <c r="L271" s="10" t="s">
        <v>614</v>
      </c>
      <c r="M271" s="10"/>
    </row>
    <row r="272" customFormat="false" ht="15" hidden="false" customHeight="false" outlineLevel="0" collapsed="false">
      <c r="A272" s="3" t="s">
        <v>19</v>
      </c>
      <c r="B272" s="9" t="n">
        <v>2</v>
      </c>
      <c r="C272" s="3" t="s">
        <v>615</v>
      </c>
      <c r="D272" s="3" t="str">
        <f aca="false">IF(LEFT(C272,3)="09S",LEFT(C272,14),C272)</f>
        <v>NXH0HAL001832D5B899501</v>
      </c>
      <c r="E272" s="9" t="str">
        <f aca="false">IF(LEFT(C272,3)="09S",MID(C272,15,5),"")</f>
        <v/>
      </c>
      <c r="F272" s="9" t="n">
        <v>414008</v>
      </c>
      <c r="G272" s="3" t="s">
        <v>328</v>
      </c>
      <c r="H272" s="3" t="str">
        <f aca="false">IFERROR(INDEX(Sistema!$F$2:$F$421,MATCH(D272,Sistema!$G$2:$G$421,0)),"Não encontrado")</f>
        <v>Carrinho 12 - OCRE </v>
      </c>
      <c r="I272" s="3" t="str">
        <f aca="false">IFERROR(INDEX(Sistema!$C$2:$C$421,MATCH(D272,Sistema!$G$2:$G$421,0)),"")</f>
        <v>Acer Chromebook 11 N7 (C731, C731T)</v>
      </c>
      <c r="J272" s="9" t="str">
        <f aca="false">IF(LEFT(C272,3)="09S",IFERROR(MID(INDEX(Sistema!$D$2:$D$421,MATCH(D272,Sistema!$G$2:$G$421,0)),15,5),""),"")</f>
        <v/>
      </c>
      <c r="K272" s="9" t="str">
        <f aca="false">IF(H272="Não encontrado","Não encontrado",IF(H272&lt;&gt;A272,"Local diferente",IF(AND(E272&lt;&gt;"",J272&lt;&gt;"",UPPER(E272)&lt;&gt;UPPER(J272)),"Letra final diferente","Confere")))</f>
        <v>Confere</v>
      </c>
      <c r="L272" s="10"/>
      <c r="M272" s="10"/>
    </row>
    <row r="273" customFormat="false" ht="15" hidden="false" customHeight="false" outlineLevel="0" collapsed="false">
      <c r="A273" s="3" t="s">
        <v>19</v>
      </c>
      <c r="B273" s="9" t="n">
        <v>3</v>
      </c>
      <c r="C273" s="3" t="s">
        <v>616</v>
      </c>
      <c r="D273" s="3" t="str">
        <f aca="false">IF(LEFT(C273,3)="09S",LEFT(C273,14),C273)</f>
        <v>NXH0HAL001832D5F0C9501</v>
      </c>
      <c r="E273" s="9" t="str">
        <f aca="false">IF(LEFT(C273,3)="09S",MID(C273,15,5),"")</f>
        <v/>
      </c>
      <c r="F273" s="9" t="n">
        <v>415290</v>
      </c>
      <c r="G273" s="3" t="s">
        <v>328</v>
      </c>
      <c r="H273" s="3" t="str">
        <f aca="false">IFERROR(INDEX(Sistema!$F$2:$F$421,MATCH(D273,Sistema!$G$2:$G$421,0)),"Não encontrado")</f>
        <v>Carrinho 12 - OCRE </v>
      </c>
      <c r="I273" s="3" t="str">
        <f aca="false">IFERROR(INDEX(Sistema!$C$2:$C$421,MATCH(D273,Sistema!$G$2:$G$421,0)),"")</f>
        <v>Acer Chromebook 11 N7 (C731, C731T)</v>
      </c>
      <c r="J273" s="9" t="str">
        <f aca="false">IF(LEFT(C273,3)="09S",IFERROR(MID(INDEX(Sistema!$D$2:$D$421,MATCH(D273,Sistema!$G$2:$G$421,0)),15,5),""),"")</f>
        <v/>
      </c>
      <c r="K273" s="9" t="str">
        <f aca="false">IF(H273="Não encontrado","Não encontrado",IF(H273&lt;&gt;A273,"Local diferente",IF(AND(E273&lt;&gt;"",J273&lt;&gt;"",UPPER(E273)&lt;&gt;UPPER(J273)),"Letra final diferente","Confere")))</f>
        <v>Confere</v>
      </c>
      <c r="L273" s="10"/>
      <c r="M273" s="10"/>
    </row>
    <row r="274" customFormat="false" ht="15" hidden="false" customHeight="false" outlineLevel="0" collapsed="false">
      <c r="A274" s="3" t="s">
        <v>19</v>
      </c>
      <c r="B274" s="9" t="n">
        <v>4</v>
      </c>
      <c r="C274" s="3" t="s">
        <v>617</v>
      </c>
      <c r="D274" s="3" t="str">
        <f aca="false">IF(LEFT(C274,3)="09S",LEFT(C274,14),C274)</f>
        <v>NXH0HAL001830D13A99501</v>
      </c>
      <c r="E274" s="9" t="str">
        <f aca="false">IF(LEFT(C274,3)="09S",MID(C274,15,5),"")</f>
        <v/>
      </c>
      <c r="F274" s="9" t="n">
        <v>414456</v>
      </c>
      <c r="G274" s="3" t="s">
        <v>328</v>
      </c>
      <c r="H274" s="3" t="str">
        <f aca="false">IFERROR(INDEX(Sistema!$F$2:$F$421,MATCH(D274,Sistema!$G$2:$G$421,0)),"Não encontrado")</f>
        <v>Carrinho 12 - OCRE </v>
      </c>
      <c r="I274" s="3" t="str">
        <f aca="false">IFERROR(INDEX(Sistema!$C$2:$C$421,MATCH(D274,Sistema!$G$2:$G$421,0)),"")</f>
        <v>Acer Chromebook 11 N7 (C731, C731T)</v>
      </c>
      <c r="J274" s="9" t="str">
        <f aca="false">IF(LEFT(C274,3)="09S",IFERROR(MID(INDEX(Sistema!$D$2:$D$421,MATCH(D274,Sistema!$G$2:$G$421,0)),15,5),""),"")</f>
        <v/>
      </c>
      <c r="K274" s="9" t="str">
        <f aca="false">IF(H274="Não encontrado","Não encontrado",IF(H274&lt;&gt;A274,"Local diferente",IF(AND(E274&lt;&gt;"",J274&lt;&gt;"",UPPER(E274)&lt;&gt;UPPER(J274)),"Letra final diferente","Confere")))</f>
        <v>Confere</v>
      </c>
      <c r="L274" s="10"/>
      <c r="M274" s="10"/>
    </row>
    <row r="275" customFormat="false" ht="15" hidden="false" customHeight="false" outlineLevel="0" collapsed="false">
      <c r="A275" s="3" t="s">
        <v>19</v>
      </c>
      <c r="B275" s="9" t="n">
        <v>5</v>
      </c>
      <c r="C275" s="3" t="s">
        <v>618</v>
      </c>
      <c r="D275" s="3" t="str">
        <f aca="false">IF(LEFT(C275,3)="09S",LEFT(C275,14),C275)</f>
        <v>NXH0HAL001839ED39C9501</v>
      </c>
      <c r="E275" s="9" t="str">
        <f aca="false">IF(LEFT(C275,3)="09S",MID(C275,15,5),"")</f>
        <v/>
      </c>
      <c r="F275" s="9" t="n">
        <v>413997</v>
      </c>
      <c r="G275" s="3" t="s">
        <v>328</v>
      </c>
      <c r="H275" s="3" t="str">
        <f aca="false">IFERROR(INDEX(Sistema!$F$2:$F$421,MATCH(D275,Sistema!$G$2:$G$421,0)),"Não encontrado")</f>
        <v>Carrinho 12 - OCRE </v>
      </c>
      <c r="I275" s="3" t="str">
        <f aca="false">IFERROR(INDEX(Sistema!$C$2:$C$421,MATCH(D275,Sistema!$G$2:$G$421,0)),"")</f>
        <v>Acer Chromebook 11 N7 (C731, C731T)</v>
      </c>
      <c r="J275" s="9" t="str">
        <f aca="false">IF(LEFT(C275,3)="09S",IFERROR(MID(INDEX(Sistema!$D$2:$D$421,MATCH(D275,Sistema!$G$2:$G$421,0)),15,5),""),"")</f>
        <v/>
      </c>
      <c r="K275" s="9" t="str">
        <f aca="false">IF(H275="Não encontrado","Não encontrado",IF(H275&lt;&gt;A275,"Local diferente",IF(AND(E275&lt;&gt;"",J275&lt;&gt;"",UPPER(E275)&lt;&gt;UPPER(J275)),"Letra final diferente","Confere")))</f>
        <v>Confere</v>
      </c>
      <c r="L275" s="10"/>
      <c r="M275" s="10"/>
    </row>
    <row r="276" customFormat="false" ht="15" hidden="false" customHeight="false" outlineLevel="0" collapsed="false">
      <c r="A276" s="3" t="s">
        <v>19</v>
      </c>
      <c r="B276" s="9" t="n">
        <v>6</v>
      </c>
      <c r="C276" s="3" t="s">
        <v>619</v>
      </c>
      <c r="D276" s="3" t="str">
        <f aca="false">IF(LEFT(C276,3)="09S",LEFT(C276,14),C276)</f>
        <v>NXH0HAL0018481FCBE9501</v>
      </c>
      <c r="E276" s="9" t="str">
        <f aca="false">IF(LEFT(C276,3)="09S",MID(C276,15,5),"")</f>
        <v/>
      </c>
      <c r="F276" s="9" t="n">
        <v>413924</v>
      </c>
      <c r="G276" s="3" t="s">
        <v>328</v>
      </c>
      <c r="H276" s="3" t="str">
        <f aca="false">IFERROR(INDEX(Sistema!$F$2:$F$421,MATCH(D276,Sistema!$G$2:$G$421,0)),"Não encontrado")</f>
        <v>Carrinho 12 - OCRE </v>
      </c>
      <c r="I276" s="3" t="str">
        <f aca="false">IFERROR(INDEX(Sistema!$C$2:$C$421,MATCH(D276,Sistema!$G$2:$G$421,0)),"")</f>
        <v>Acer Chromebook 11 N7 (C731, C731T)</v>
      </c>
      <c r="J276" s="9" t="str">
        <f aca="false">IF(LEFT(C276,3)="09S",IFERROR(MID(INDEX(Sistema!$D$2:$D$421,MATCH(D276,Sistema!$G$2:$G$421,0)),15,5),""),"")</f>
        <v/>
      </c>
      <c r="K276" s="9" t="str">
        <f aca="false">IF(H276="Não encontrado","Não encontrado",IF(H276&lt;&gt;A276,"Local diferente",IF(AND(E276&lt;&gt;"",J276&lt;&gt;"",UPPER(E276)&lt;&gt;UPPER(J276)),"Letra final diferente","Confere")))</f>
        <v>Confere</v>
      </c>
      <c r="L276" s="10"/>
      <c r="M276" s="10"/>
    </row>
    <row r="277" customFormat="false" ht="15" hidden="false" customHeight="false" outlineLevel="0" collapsed="false">
      <c r="A277" s="3" t="s">
        <v>19</v>
      </c>
      <c r="B277" s="9" t="n">
        <v>7</v>
      </c>
      <c r="C277" s="3" t="s">
        <v>620</v>
      </c>
      <c r="D277" s="3" t="str">
        <f aca="false">IF(LEFT(C277,3)="09S",LEFT(C277,14),C277)</f>
        <v>NXH0HAL001830D18D19501</v>
      </c>
      <c r="E277" s="9" t="str">
        <f aca="false">IF(LEFT(C277,3)="09S",MID(C277,15,5),"")</f>
        <v/>
      </c>
      <c r="F277" s="9" t="n">
        <v>414351</v>
      </c>
      <c r="G277" s="3" t="s">
        <v>328</v>
      </c>
      <c r="H277" s="3" t="str">
        <f aca="false">IFERROR(INDEX(Sistema!$F$2:$F$421,MATCH(D277,Sistema!$G$2:$G$421,0)),"Não encontrado")</f>
        <v>Carrinho 12 - OCRE </v>
      </c>
      <c r="I277" s="3" t="str">
        <f aca="false">IFERROR(INDEX(Sistema!$C$2:$C$421,MATCH(D277,Sistema!$G$2:$G$421,0)),"")</f>
        <v>Acer Chromebook 11 N7 (C731, C731T)</v>
      </c>
      <c r="J277" s="9" t="str">
        <f aca="false">IF(LEFT(C277,3)="09S",IFERROR(MID(INDEX(Sistema!$D$2:$D$421,MATCH(D277,Sistema!$G$2:$G$421,0)),15,5),""),"")</f>
        <v/>
      </c>
      <c r="K277" s="9" t="str">
        <f aca="false">IF(H277="Não encontrado","Não encontrado",IF(H277&lt;&gt;A277,"Local diferente",IF(AND(E277&lt;&gt;"",J277&lt;&gt;"",UPPER(E277)&lt;&gt;UPPER(J277)),"Letra final diferente","Confere")))</f>
        <v>Confere</v>
      </c>
      <c r="L277" s="10"/>
      <c r="M277" s="10"/>
    </row>
    <row r="278" customFormat="false" ht="15" hidden="false" customHeight="false" outlineLevel="0" collapsed="false">
      <c r="A278" s="3" t="s">
        <v>19</v>
      </c>
      <c r="B278" s="9" t="n">
        <v>8</v>
      </c>
      <c r="C278" s="3" t="s">
        <v>621</v>
      </c>
      <c r="D278" s="3" t="str">
        <f aca="false">IF(LEFT(C278,3)="09S",LEFT(C278,14),C278)</f>
        <v>NXH0HAL001830D196D9501</v>
      </c>
      <c r="E278" s="9" t="str">
        <f aca="false">IF(LEFT(C278,3)="09S",MID(C278,15,5),"")</f>
        <v/>
      </c>
      <c r="F278" s="9" t="n">
        <v>414556</v>
      </c>
      <c r="G278" s="3" t="s">
        <v>328</v>
      </c>
      <c r="H278" s="3" t="str">
        <f aca="false">IFERROR(INDEX(Sistema!$F$2:$F$421,MATCH(D278,Sistema!$G$2:$G$421,0)),"Não encontrado")</f>
        <v>Carrinho 12 - OCRE </v>
      </c>
      <c r="I278" s="3" t="str">
        <f aca="false">IFERROR(INDEX(Sistema!$C$2:$C$421,MATCH(D278,Sistema!$G$2:$G$421,0)),"")</f>
        <v>Acer Chromebook 11 N7 (C731, C731T)</v>
      </c>
      <c r="J278" s="9" t="str">
        <f aca="false">IF(LEFT(C278,3)="09S",IFERROR(MID(INDEX(Sistema!$D$2:$D$421,MATCH(D278,Sistema!$G$2:$G$421,0)),15,5),""),"")</f>
        <v/>
      </c>
      <c r="K278" s="9" t="str">
        <f aca="false">IF(H278="Não encontrado","Não encontrado",IF(H278&lt;&gt;A278,"Local diferente",IF(AND(E278&lt;&gt;"",J278&lt;&gt;"",UPPER(E278)&lt;&gt;UPPER(J278)),"Letra final diferente","Confere")))</f>
        <v>Confere</v>
      </c>
      <c r="L278" s="10"/>
      <c r="M278" s="10"/>
    </row>
    <row r="279" customFormat="false" ht="15" hidden="false" customHeight="false" outlineLevel="0" collapsed="false">
      <c r="A279" s="3" t="s">
        <v>19</v>
      </c>
      <c r="B279" s="9" t="n">
        <v>9</v>
      </c>
      <c r="C279" s="3" t="s">
        <v>622</v>
      </c>
      <c r="D279" s="3" t="str">
        <f aca="false">IF(LEFT(C279,3)="09S",LEFT(C279,14),C279)</f>
        <v>NXH0HAL001830D15139501</v>
      </c>
      <c r="E279" s="9" t="str">
        <f aca="false">IF(LEFT(C279,3)="09S",MID(C279,15,5),"")</f>
        <v/>
      </c>
      <c r="F279" s="9" t="n">
        <v>414376</v>
      </c>
      <c r="G279" s="3" t="s">
        <v>328</v>
      </c>
      <c r="H279" s="3" t="str">
        <f aca="false">IFERROR(INDEX(Sistema!$F$2:$F$421,MATCH(D279,Sistema!$G$2:$G$421,0)),"Não encontrado")</f>
        <v>Carrinho 12 - OCRE </v>
      </c>
      <c r="I279" s="3" t="str">
        <f aca="false">IFERROR(INDEX(Sistema!$C$2:$C$421,MATCH(D279,Sistema!$G$2:$G$421,0)),"")</f>
        <v>Acer Chromebook 11 N7 (C731, C731T)</v>
      </c>
      <c r="J279" s="9" t="str">
        <f aca="false">IF(LEFT(C279,3)="09S",IFERROR(MID(INDEX(Sistema!$D$2:$D$421,MATCH(D279,Sistema!$G$2:$G$421,0)),15,5),""),"")</f>
        <v/>
      </c>
      <c r="K279" s="9" t="str">
        <f aca="false">IF(H279="Não encontrado","Não encontrado",IF(H279&lt;&gt;A279,"Local diferente",IF(AND(E279&lt;&gt;"",J279&lt;&gt;"",UPPER(E279)&lt;&gt;UPPER(J279)),"Letra final diferente","Confere")))</f>
        <v>Confere</v>
      </c>
      <c r="L279" s="10"/>
      <c r="M279" s="10"/>
    </row>
    <row r="280" customFormat="false" ht="15" hidden="false" customHeight="false" outlineLevel="0" collapsed="false">
      <c r="A280" s="3" t="s">
        <v>19</v>
      </c>
      <c r="B280" s="9" t="n">
        <v>10</v>
      </c>
      <c r="C280" s="3" t="s">
        <v>623</v>
      </c>
      <c r="D280" s="3" t="str">
        <f aca="false">IF(LEFT(C280,3)="09S",LEFT(C280,14),C280)</f>
        <v>NXH0HAL001830D20EB9501</v>
      </c>
      <c r="E280" s="9" t="str">
        <f aca="false">IF(LEFT(C280,3)="09S",MID(C280,15,5),"")</f>
        <v/>
      </c>
      <c r="F280" s="9" t="n">
        <v>413998</v>
      </c>
      <c r="G280" s="3" t="s">
        <v>328</v>
      </c>
      <c r="H280" s="3" t="str">
        <f aca="false">IFERROR(INDEX(Sistema!$F$2:$F$421,MATCH(D280,Sistema!$G$2:$G$421,0)),"Não encontrado")</f>
        <v>Carrinho 12 - OCRE </v>
      </c>
      <c r="I280" s="3" t="str">
        <f aca="false">IFERROR(INDEX(Sistema!$C$2:$C$421,MATCH(D280,Sistema!$G$2:$G$421,0)),"")</f>
        <v>Acer Chromebook 11 N7 (C731, C731T)</v>
      </c>
      <c r="J280" s="9" t="str">
        <f aca="false">IF(LEFT(C280,3)="09S",IFERROR(MID(INDEX(Sistema!$D$2:$D$421,MATCH(D280,Sistema!$G$2:$G$421,0)),15,5),""),"")</f>
        <v/>
      </c>
      <c r="K280" s="9" t="str">
        <f aca="false">IF(H280="Não encontrado","Não encontrado",IF(H280&lt;&gt;A280,"Local diferente",IF(AND(E280&lt;&gt;"",J280&lt;&gt;"",UPPER(E280)&lt;&gt;UPPER(J280)),"Letra final diferente","Confere")))</f>
        <v>Confere</v>
      </c>
      <c r="L280" s="10"/>
      <c r="M280" s="10"/>
    </row>
    <row r="281" customFormat="false" ht="15" hidden="false" customHeight="false" outlineLevel="0" collapsed="false">
      <c r="A281" s="3" t="s">
        <v>19</v>
      </c>
      <c r="B281" s="9" t="n">
        <v>11</v>
      </c>
      <c r="C281" s="3" t="s">
        <v>624</v>
      </c>
      <c r="D281" s="3" t="str">
        <f aca="false">IF(LEFT(C281,3)="09S",LEFT(C281,14),C281)</f>
        <v>NXH0HAL001830D19179501</v>
      </c>
      <c r="E281" s="9" t="str">
        <f aca="false">IF(LEFT(C281,3)="09S",MID(C281,15,5),"")</f>
        <v/>
      </c>
      <c r="F281" s="9" t="n">
        <v>414458</v>
      </c>
      <c r="G281" s="3" t="s">
        <v>328</v>
      </c>
      <c r="H281" s="3" t="str">
        <f aca="false">IFERROR(INDEX(Sistema!$F$2:$F$421,MATCH(D281,Sistema!$G$2:$G$421,0)),"Não encontrado")</f>
        <v>Carrinho 12 - OCRE </v>
      </c>
      <c r="I281" s="3" t="str">
        <f aca="false">IFERROR(INDEX(Sistema!$C$2:$C$421,MATCH(D281,Sistema!$G$2:$G$421,0)),"")</f>
        <v>Acer Chromebook 11 N7 (C731, C731T)</v>
      </c>
      <c r="J281" s="9" t="str">
        <f aca="false">IF(LEFT(C281,3)="09S",IFERROR(MID(INDEX(Sistema!$D$2:$D$421,MATCH(D281,Sistema!$G$2:$G$421,0)),15,5),""),"")</f>
        <v/>
      </c>
      <c r="K281" s="9" t="str">
        <f aca="false">IF(H281="Não encontrado","Não encontrado",IF(H281&lt;&gt;A281,"Local diferente",IF(AND(E281&lt;&gt;"",J281&lt;&gt;"",UPPER(E281)&lt;&gt;UPPER(J281)),"Letra final diferente","Confere")))</f>
        <v>Confere</v>
      </c>
      <c r="L281" s="10"/>
      <c r="M281" s="10"/>
    </row>
    <row r="282" customFormat="false" ht="39.55" hidden="false" customHeight="false" outlineLevel="0" collapsed="false">
      <c r="A282" s="3" t="s">
        <v>19</v>
      </c>
      <c r="B282" s="9" t="n">
        <v>12</v>
      </c>
      <c r="C282" s="3" t="s">
        <v>174</v>
      </c>
      <c r="D282" s="3" t="str">
        <f aca="false">IF(LEFT(C282,3)="09S",LEFT(C282,14),C282)</f>
        <v>NXH0HAL001830EDC819501</v>
      </c>
      <c r="E282" s="9" t="str">
        <f aca="false">IF(LEFT(C282,3)="09S",MID(C282,15,5),"")</f>
        <v/>
      </c>
      <c r="F282" s="9" t="n">
        <v>416497</v>
      </c>
      <c r="G282" s="3" t="s">
        <v>328</v>
      </c>
      <c r="H282" s="3" t="str">
        <f aca="false">IFERROR(INDEX(Sistema!$F$2:$F$421,MATCH(D282,Sistema!$G$2:$G$421,0)),"Não encontrado")</f>
        <v>Não encontrado</v>
      </c>
      <c r="I282" s="3" t="str">
        <f aca="false">IFERROR(INDEX(Sistema!$C$2:$C$421,MATCH(D282,Sistema!$G$2:$G$421,0)),"")</f>
        <v/>
      </c>
      <c r="J282" s="9" t="str">
        <f aca="false">IF(LEFT(C282,3)="09S",IFERROR(MID(INDEX(Sistema!$D$2:$D$421,MATCH(D282,Sistema!$G$2:$G$421,0)),15,5),""),"")</f>
        <v/>
      </c>
      <c r="K282" s="9" t="str">
        <f aca="false">IF(H282="Não encontrado","Não encontrado",IF(H282&lt;&gt;A282,"Local diferente",IF(AND(E282&lt;&gt;"",J282&lt;&gt;"",UPPER(E282)&lt;&gt;UPPER(J282)),"Letra final diferente","Confere")))</f>
        <v>Não encontrado</v>
      </c>
      <c r="L282" s="10" t="s">
        <v>625</v>
      </c>
      <c r="M282" s="10"/>
    </row>
    <row r="283" customFormat="false" ht="15" hidden="false" customHeight="false" outlineLevel="0" collapsed="false">
      <c r="A283" s="3" t="s">
        <v>19</v>
      </c>
      <c r="B283" s="9" t="n">
        <v>13</v>
      </c>
      <c r="C283" s="3" t="s">
        <v>626</v>
      </c>
      <c r="D283" s="3" t="str">
        <f aca="false">IF(LEFT(C283,3)="09S",LEFT(C283,14),C283)</f>
        <v>NXH0HAL001830D18B89501</v>
      </c>
      <c r="E283" s="9" t="str">
        <f aca="false">IF(LEFT(C283,3)="09S",MID(C283,15,5),"")</f>
        <v/>
      </c>
      <c r="F283" s="9" t="n">
        <v>414482</v>
      </c>
      <c r="G283" s="3" t="s">
        <v>328</v>
      </c>
      <c r="H283" s="3" t="str">
        <f aca="false">IFERROR(INDEX(Sistema!$F$2:$F$421,MATCH(D283,Sistema!$G$2:$G$421,0)),"Não encontrado")</f>
        <v>Carrinho 12 - OCRE </v>
      </c>
      <c r="I283" s="3" t="str">
        <f aca="false">IFERROR(INDEX(Sistema!$C$2:$C$421,MATCH(D283,Sistema!$G$2:$G$421,0)),"")</f>
        <v>Acer Chromebook 11 N7 (C731, C731T)</v>
      </c>
      <c r="J283" s="9" t="str">
        <f aca="false">IF(LEFT(C283,3)="09S",IFERROR(MID(INDEX(Sistema!$D$2:$D$421,MATCH(D283,Sistema!$G$2:$G$421,0)),15,5),""),"")</f>
        <v/>
      </c>
      <c r="K283" s="9" t="str">
        <f aca="false">IF(H283="Não encontrado","Não encontrado",IF(H283&lt;&gt;A283,"Local diferente",IF(AND(E283&lt;&gt;"",J283&lt;&gt;"",UPPER(E283)&lt;&gt;UPPER(J283)),"Letra final diferente","Confere")))</f>
        <v>Confere</v>
      </c>
      <c r="L283" s="10"/>
      <c r="M283" s="10"/>
    </row>
    <row r="284" customFormat="false" ht="15" hidden="false" customHeight="false" outlineLevel="0" collapsed="false">
      <c r="A284" s="3" t="s">
        <v>19</v>
      </c>
      <c r="B284" s="9" t="n">
        <v>14</v>
      </c>
      <c r="C284" s="3" t="s">
        <v>627</v>
      </c>
      <c r="D284" s="3" t="str">
        <f aca="false">IF(LEFT(C284,3)="09S",LEFT(C284,14),C284)</f>
        <v>NXH0HAL001830D21C29501</v>
      </c>
      <c r="E284" s="9" t="str">
        <f aca="false">IF(LEFT(C284,3)="09S",MID(C284,15,5),"")</f>
        <v/>
      </c>
      <c r="F284" s="9" t="n">
        <v>414006</v>
      </c>
      <c r="G284" s="3" t="s">
        <v>328</v>
      </c>
      <c r="H284" s="3" t="str">
        <f aca="false">IFERROR(INDEX(Sistema!$F$2:$F$421,MATCH(D284,Sistema!$G$2:$G$421,0)),"Não encontrado")</f>
        <v>Carrinho 12 - OCRE </v>
      </c>
      <c r="I284" s="3" t="str">
        <f aca="false">IFERROR(INDEX(Sistema!$C$2:$C$421,MATCH(D284,Sistema!$G$2:$G$421,0)),"")</f>
        <v>Acer Chromebook 11 N7 (C731, C731T)</v>
      </c>
      <c r="J284" s="9" t="str">
        <f aca="false">IF(LEFT(C284,3)="09S",IFERROR(MID(INDEX(Sistema!$D$2:$D$421,MATCH(D284,Sistema!$G$2:$G$421,0)),15,5),""),"")</f>
        <v/>
      </c>
      <c r="K284" s="9" t="str">
        <f aca="false">IF(H284="Não encontrado","Não encontrado",IF(H284&lt;&gt;A284,"Local diferente",IF(AND(E284&lt;&gt;"",J284&lt;&gt;"",UPPER(E284)&lt;&gt;UPPER(J284)),"Letra final diferente","Confere")))</f>
        <v>Confere</v>
      </c>
      <c r="L284" s="10"/>
      <c r="M284" s="10"/>
    </row>
    <row r="285" customFormat="false" ht="15" hidden="false" customHeight="false" outlineLevel="0" collapsed="false">
      <c r="A285" s="3" t="s">
        <v>19</v>
      </c>
      <c r="B285" s="9" t="n">
        <v>15</v>
      </c>
      <c r="C285" s="3" t="s">
        <v>628</v>
      </c>
      <c r="D285" s="3" t="str">
        <f aca="false">IF(LEFT(C285,3)="09S",LEFT(C285,14),C285)</f>
        <v>NXH0HAL001830D1F719501</v>
      </c>
      <c r="E285" s="9" t="str">
        <f aca="false">IF(LEFT(C285,3)="09S",MID(C285,15,5),"")</f>
        <v/>
      </c>
      <c r="F285" s="9" t="n">
        <v>414474</v>
      </c>
      <c r="G285" s="3" t="s">
        <v>328</v>
      </c>
      <c r="H285" s="3" t="str">
        <f aca="false">IFERROR(INDEX(Sistema!$F$2:$F$421,MATCH(D285,Sistema!$G$2:$G$421,0)),"Não encontrado")</f>
        <v>Carrinho 12 - OCRE </v>
      </c>
      <c r="I285" s="3" t="str">
        <f aca="false">IFERROR(INDEX(Sistema!$C$2:$C$421,MATCH(D285,Sistema!$G$2:$G$421,0)),"")</f>
        <v>Acer Chromebook 11 N7 (C731, C731T)</v>
      </c>
      <c r="J285" s="9" t="str">
        <f aca="false">IF(LEFT(C285,3)="09S",IFERROR(MID(INDEX(Sistema!$D$2:$D$421,MATCH(D285,Sistema!$G$2:$G$421,0)),15,5),""),"")</f>
        <v/>
      </c>
      <c r="K285" s="9" t="str">
        <f aca="false">IF(H285="Não encontrado","Não encontrado",IF(H285&lt;&gt;A285,"Local diferente",IF(AND(E285&lt;&gt;"",J285&lt;&gt;"",UPPER(E285)&lt;&gt;UPPER(J285)),"Letra final diferente","Confere")))</f>
        <v>Confere</v>
      </c>
      <c r="L285" s="10"/>
      <c r="M285" s="10"/>
    </row>
    <row r="286" customFormat="false" ht="15" hidden="false" customHeight="false" outlineLevel="0" collapsed="false">
      <c r="A286" s="3" t="s">
        <v>19</v>
      </c>
      <c r="B286" s="9" t="n">
        <v>16</v>
      </c>
      <c r="C286" s="3" t="s">
        <v>629</v>
      </c>
      <c r="D286" s="3" t="str">
        <f aca="false">IF(LEFT(C286,3)="09S",LEFT(C286,14),C286)</f>
        <v>NXH0HAL001832D65659501</v>
      </c>
      <c r="E286" s="9" t="str">
        <f aca="false">IF(LEFT(C286,3)="09S",MID(C286,15,5),"")</f>
        <v/>
      </c>
      <c r="F286" s="9" t="n">
        <v>413930</v>
      </c>
      <c r="G286" s="3" t="s">
        <v>328</v>
      </c>
      <c r="H286" s="3" t="str">
        <f aca="false">IFERROR(INDEX(Sistema!$F$2:$F$421,MATCH(D286,Sistema!$G$2:$G$421,0)),"Não encontrado")</f>
        <v>Carrinho 12 - OCRE </v>
      </c>
      <c r="I286" s="3" t="str">
        <f aca="false">IFERROR(INDEX(Sistema!$C$2:$C$421,MATCH(D286,Sistema!$G$2:$G$421,0)),"")</f>
        <v>Acer Chromebook 11 N7 (C731, C731T)</v>
      </c>
      <c r="J286" s="9" t="str">
        <f aca="false">IF(LEFT(C286,3)="09S",IFERROR(MID(INDEX(Sistema!$D$2:$D$421,MATCH(D286,Sistema!$G$2:$G$421,0)),15,5),""),"")</f>
        <v/>
      </c>
      <c r="K286" s="9" t="str">
        <f aca="false">IF(H286="Não encontrado","Não encontrado",IF(H286&lt;&gt;A286,"Local diferente",IF(AND(E286&lt;&gt;"",J286&lt;&gt;"",UPPER(E286)&lt;&gt;UPPER(J286)),"Letra final diferente","Confere")))</f>
        <v>Confere</v>
      </c>
      <c r="L286" s="10"/>
      <c r="M286" s="10"/>
    </row>
    <row r="287" customFormat="false" ht="15" hidden="false" customHeight="false" outlineLevel="0" collapsed="false">
      <c r="A287" s="3" t="s">
        <v>19</v>
      </c>
      <c r="B287" s="9" t="n">
        <v>17</v>
      </c>
      <c r="C287" s="3" t="s">
        <v>630</v>
      </c>
      <c r="D287" s="3" t="str">
        <f aca="false">IF(LEFT(C287,3)="09S",LEFT(C287,14),C287)</f>
        <v>NXH0HAL001838E683A9501</v>
      </c>
      <c r="E287" s="9" t="str">
        <f aca="false">IF(LEFT(C287,3)="09S",MID(C287,15,5),"")</f>
        <v/>
      </c>
      <c r="F287" s="9" t="n">
        <v>415268</v>
      </c>
      <c r="G287" s="3" t="s">
        <v>328</v>
      </c>
      <c r="H287" s="3" t="str">
        <f aca="false">IFERROR(INDEX(Sistema!$F$2:$F$421,MATCH(D287,Sistema!$G$2:$G$421,0)),"Não encontrado")</f>
        <v>Carrinho 12 - OCRE </v>
      </c>
      <c r="I287" s="3" t="str">
        <f aca="false">IFERROR(INDEX(Sistema!$C$2:$C$421,MATCH(D287,Sistema!$G$2:$G$421,0)),"")</f>
        <v>Acer Chromebook 11 N7 (C731, C731T)</v>
      </c>
      <c r="J287" s="9" t="str">
        <f aca="false">IF(LEFT(C287,3)="09S",IFERROR(MID(INDEX(Sistema!$D$2:$D$421,MATCH(D287,Sistema!$G$2:$G$421,0)),15,5),""),"")</f>
        <v/>
      </c>
      <c r="K287" s="9" t="str">
        <f aca="false">IF(H287="Não encontrado","Não encontrado",IF(H287&lt;&gt;A287,"Local diferente",IF(AND(E287&lt;&gt;"",J287&lt;&gt;"",UPPER(E287)&lt;&gt;UPPER(J287)),"Letra final diferente","Confere")))</f>
        <v>Confere</v>
      </c>
      <c r="L287" s="10"/>
      <c r="M287" s="10"/>
    </row>
    <row r="288" customFormat="false" ht="15" hidden="false" customHeight="false" outlineLevel="0" collapsed="false">
      <c r="A288" s="3" t="s">
        <v>19</v>
      </c>
      <c r="B288" s="9" t="n">
        <v>18</v>
      </c>
      <c r="C288" s="3" t="s">
        <v>631</v>
      </c>
      <c r="D288" s="3" t="str">
        <f aca="false">IF(LEFT(C288,3)="09S",LEFT(C288,14),C288)</f>
        <v>NXH0HAL001838E7B7E9501</v>
      </c>
      <c r="E288" s="9" t="str">
        <f aca="false">IF(LEFT(C288,3)="09S",MID(C288,15,5),"")</f>
        <v/>
      </c>
      <c r="F288" s="9" t="n">
        <v>415305</v>
      </c>
      <c r="G288" s="3" t="s">
        <v>328</v>
      </c>
      <c r="H288" s="3" t="str">
        <f aca="false">IFERROR(INDEX(Sistema!$F$2:$F$421,MATCH(D288,Sistema!$G$2:$G$421,0)),"Não encontrado")</f>
        <v>Carrinho 12 - OCRE </v>
      </c>
      <c r="I288" s="3" t="str">
        <f aca="false">IFERROR(INDEX(Sistema!$C$2:$C$421,MATCH(D288,Sistema!$G$2:$G$421,0)),"")</f>
        <v>Acer Chromebook 11 N7 (C731, C731T)</v>
      </c>
      <c r="J288" s="9" t="str">
        <f aca="false">IF(LEFT(C288,3)="09S",IFERROR(MID(INDEX(Sistema!$D$2:$D$421,MATCH(D288,Sistema!$G$2:$G$421,0)),15,5),""),"")</f>
        <v/>
      </c>
      <c r="K288" s="9" t="str">
        <f aca="false">IF(H288="Não encontrado","Não encontrado",IF(H288&lt;&gt;A288,"Local diferente",IF(AND(E288&lt;&gt;"",J288&lt;&gt;"",UPPER(E288)&lt;&gt;UPPER(J288)),"Letra final diferente","Confere")))</f>
        <v>Confere</v>
      </c>
      <c r="L288" s="10"/>
      <c r="M288" s="10"/>
    </row>
    <row r="289" customFormat="false" ht="15" hidden="false" customHeight="false" outlineLevel="0" collapsed="false">
      <c r="A289" s="3" t="s">
        <v>19</v>
      </c>
      <c r="B289" s="9" t="n">
        <v>19</v>
      </c>
      <c r="C289" s="3" t="s">
        <v>632</v>
      </c>
      <c r="D289" s="3" t="str">
        <f aca="false">IF(LEFT(C289,3)="09S",LEFT(C289,14),C289)</f>
        <v>NXH0HAL001830D195C9501</v>
      </c>
      <c r="E289" s="9" t="str">
        <f aca="false">IF(LEFT(C289,3)="09S",MID(C289,15,5),"")</f>
        <v/>
      </c>
      <c r="F289" s="9" t="n">
        <v>414479</v>
      </c>
      <c r="G289" s="3" t="s">
        <v>328</v>
      </c>
      <c r="H289" s="3" t="str">
        <f aca="false">IFERROR(INDEX(Sistema!$F$2:$F$421,MATCH(D289,Sistema!$G$2:$G$421,0)),"Não encontrado")</f>
        <v>Carrinho 12 - OCRE </v>
      </c>
      <c r="I289" s="3" t="str">
        <f aca="false">IFERROR(INDEX(Sistema!$C$2:$C$421,MATCH(D289,Sistema!$G$2:$G$421,0)),"")</f>
        <v>Acer Chromebook 11 N7 (C731, C731T)</v>
      </c>
      <c r="J289" s="9" t="str">
        <f aca="false">IF(LEFT(C289,3)="09S",IFERROR(MID(INDEX(Sistema!$D$2:$D$421,MATCH(D289,Sistema!$G$2:$G$421,0)),15,5),""),"")</f>
        <v/>
      </c>
      <c r="K289" s="9" t="str">
        <f aca="false">IF(H289="Não encontrado","Não encontrado",IF(H289&lt;&gt;A289,"Local diferente",IF(AND(E289&lt;&gt;"",J289&lt;&gt;"",UPPER(E289)&lt;&gt;UPPER(J289)),"Letra final diferente","Confere")))</f>
        <v>Confere</v>
      </c>
      <c r="L289" s="10"/>
      <c r="M289" s="10"/>
    </row>
    <row r="290" customFormat="false" ht="15" hidden="false" customHeight="false" outlineLevel="0" collapsed="false">
      <c r="A290" s="3" t="s">
        <v>19</v>
      </c>
      <c r="B290" s="9" t="n">
        <v>20</v>
      </c>
      <c r="C290" s="3" t="s">
        <v>633</v>
      </c>
      <c r="D290" s="3" t="str">
        <f aca="false">IF(LEFT(C290,3)="09S",LEFT(C290,14),C290)</f>
        <v>NXH0HAL001830D1AED9501</v>
      </c>
      <c r="E290" s="9" t="str">
        <f aca="false">IF(LEFT(C290,3)="09S",MID(C290,15,5),"")</f>
        <v/>
      </c>
      <c r="F290" s="9" t="n">
        <v>414472</v>
      </c>
      <c r="G290" s="3" t="s">
        <v>328</v>
      </c>
      <c r="H290" s="3" t="str">
        <f aca="false">IFERROR(INDEX(Sistema!$F$2:$F$421,MATCH(D290,Sistema!$G$2:$G$421,0)),"Não encontrado")</f>
        <v>Carrinho 12 - OCRE </v>
      </c>
      <c r="I290" s="3" t="str">
        <f aca="false">IFERROR(INDEX(Sistema!$C$2:$C$421,MATCH(D290,Sistema!$G$2:$G$421,0)),"")</f>
        <v>Acer Chromebook 11 N7 (C731, C731T)</v>
      </c>
      <c r="J290" s="9" t="str">
        <f aca="false">IF(LEFT(C290,3)="09S",IFERROR(MID(INDEX(Sistema!$D$2:$D$421,MATCH(D290,Sistema!$G$2:$G$421,0)),15,5),""),"")</f>
        <v/>
      </c>
      <c r="K290" s="9" t="str">
        <f aca="false">IF(H290="Não encontrado","Não encontrado",IF(H290&lt;&gt;A290,"Local diferente",IF(AND(E290&lt;&gt;"",J290&lt;&gt;"",UPPER(E290)&lt;&gt;UPPER(J290)),"Letra final diferente","Confere")))</f>
        <v>Confere</v>
      </c>
      <c r="L290" s="10"/>
      <c r="M290" s="10"/>
    </row>
    <row r="291" customFormat="false" ht="15" hidden="false" customHeight="false" outlineLevel="0" collapsed="false">
      <c r="A291" s="3" t="s">
        <v>19</v>
      </c>
      <c r="B291" s="9" t="n">
        <v>21</v>
      </c>
      <c r="C291" s="3" t="s">
        <v>634</v>
      </c>
      <c r="D291" s="3" t="str">
        <f aca="false">IF(LEFT(C291,3)="09S",LEFT(C291,14),C291)</f>
        <v>NXH0HAL001830D18DF9501</v>
      </c>
      <c r="E291" s="9" t="str">
        <f aca="false">IF(LEFT(C291,3)="09S",MID(C291,15,5),"")</f>
        <v/>
      </c>
      <c r="F291" s="9" t="n">
        <v>414484</v>
      </c>
      <c r="G291" s="3" t="s">
        <v>328</v>
      </c>
      <c r="H291" s="3" t="str">
        <f aca="false">IFERROR(INDEX(Sistema!$F$2:$F$421,MATCH(D291,Sistema!$G$2:$G$421,0)),"Não encontrado")</f>
        <v>Carrinho 12 - OCRE </v>
      </c>
      <c r="I291" s="3" t="str">
        <f aca="false">IFERROR(INDEX(Sistema!$C$2:$C$421,MATCH(D291,Sistema!$G$2:$G$421,0)),"")</f>
        <v>Acer Chromebook 11 N7 (C731, C731T)</v>
      </c>
      <c r="J291" s="9" t="str">
        <f aca="false">IF(LEFT(C291,3)="09S",IFERROR(MID(INDEX(Sistema!$D$2:$D$421,MATCH(D291,Sistema!$G$2:$G$421,0)),15,5),""),"")</f>
        <v/>
      </c>
      <c r="K291" s="9" t="str">
        <f aca="false">IF(H291="Não encontrado","Não encontrado",IF(H291&lt;&gt;A291,"Local diferente",IF(AND(E291&lt;&gt;"",J291&lt;&gt;"",UPPER(E291)&lt;&gt;UPPER(J291)),"Letra final diferente","Confere")))</f>
        <v>Confere</v>
      </c>
      <c r="L291" s="10"/>
      <c r="M291" s="10"/>
    </row>
    <row r="292" customFormat="false" ht="15" hidden="false" customHeight="false" outlineLevel="0" collapsed="false">
      <c r="A292" s="3" t="s">
        <v>19</v>
      </c>
      <c r="B292" s="9" t="n">
        <v>22</v>
      </c>
      <c r="C292" s="3" t="s">
        <v>635</v>
      </c>
      <c r="D292" s="3" t="str">
        <f aca="false">IF(LEFT(C292,3)="09S",LEFT(C292,14),C292)</f>
        <v>NXH0HAL001830D192D9501</v>
      </c>
      <c r="E292" s="9" t="str">
        <f aca="false">IF(LEFT(C292,3)="09S",MID(C292,15,5),"")</f>
        <v/>
      </c>
      <c r="F292" s="9" t="n">
        <v>414444</v>
      </c>
      <c r="G292" s="3" t="s">
        <v>328</v>
      </c>
      <c r="H292" s="3" t="str">
        <f aca="false">IFERROR(INDEX(Sistema!$F$2:$F$421,MATCH(D292,Sistema!$G$2:$G$421,0)),"Não encontrado")</f>
        <v>Carrinho 12 - OCRE </v>
      </c>
      <c r="I292" s="3" t="str">
        <f aca="false">IFERROR(INDEX(Sistema!$C$2:$C$421,MATCH(D292,Sistema!$G$2:$G$421,0)),"")</f>
        <v>Acer Chromebook 11 N7 (C731, C731T)</v>
      </c>
      <c r="J292" s="9" t="str">
        <f aca="false">IF(LEFT(C292,3)="09S",IFERROR(MID(INDEX(Sistema!$D$2:$D$421,MATCH(D292,Sistema!$G$2:$G$421,0)),15,5),""),"")</f>
        <v/>
      </c>
      <c r="K292" s="9" t="str">
        <f aca="false">IF(H292="Não encontrado","Não encontrado",IF(H292&lt;&gt;A292,"Local diferente",IF(AND(E292&lt;&gt;"",J292&lt;&gt;"",UPPER(E292)&lt;&gt;UPPER(J292)),"Letra final diferente","Confere")))</f>
        <v>Confere</v>
      </c>
      <c r="L292" s="10"/>
      <c r="M292" s="10"/>
    </row>
    <row r="293" customFormat="false" ht="15" hidden="false" customHeight="false" outlineLevel="0" collapsed="false">
      <c r="A293" s="3" t="s">
        <v>19</v>
      </c>
      <c r="B293" s="9" t="n">
        <v>23</v>
      </c>
      <c r="C293" s="3" t="s">
        <v>636</v>
      </c>
      <c r="D293" s="3" t="str">
        <f aca="false">IF(LEFT(C293,3)="09S",LEFT(C293,14),C293)</f>
        <v>NXH0HAL001838E7BE09501</v>
      </c>
      <c r="E293" s="9" t="str">
        <f aca="false">IF(LEFT(C293,3)="09S",MID(C293,15,5),"")</f>
        <v/>
      </c>
      <c r="F293" s="9" t="n">
        <v>414480</v>
      </c>
      <c r="G293" s="3" t="s">
        <v>328</v>
      </c>
      <c r="H293" s="3" t="str">
        <f aca="false">IFERROR(INDEX(Sistema!$F$2:$F$421,MATCH(D293,Sistema!$G$2:$G$421,0)),"Não encontrado")</f>
        <v>Carrinho 12 - OCRE </v>
      </c>
      <c r="I293" s="3" t="str">
        <f aca="false">IFERROR(INDEX(Sistema!$C$2:$C$421,MATCH(D293,Sistema!$G$2:$G$421,0)),"")</f>
        <v>Acer Chromebook 11 N7 (C731, C731T)</v>
      </c>
      <c r="J293" s="9" t="str">
        <f aca="false">IF(LEFT(C293,3)="09S",IFERROR(MID(INDEX(Sistema!$D$2:$D$421,MATCH(D293,Sistema!$G$2:$G$421,0)),15,5),""),"")</f>
        <v/>
      </c>
      <c r="K293" s="9" t="str">
        <f aca="false">IF(H293="Não encontrado","Não encontrado",IF(H293&lt;&gt;A293,"Local diferente",IF(AND(E293&lt;&gt;"",J293&lt;&gt;"",UPPER(E293)&lt;&gt;UPPER(J293)),"Letra final diferente","Confere")))</f>
        <v>Confere</v>
      </c>
      <c r="L293" s="10"/>
      <c r="M293" s="10"/>
    </row>
    <row r="294" customFormat="false" ht="15" hidden="false" customHeight="false" outlineLevel="0" collapsed="false">
      <c r="A294" s="3" t="s">
        <v>19</v>
      </c>
      <c r="B294" s="9" t="n">
        <v>24</v>
      </c>
      <c r="C294" s="3" t="s">
        <v>637</v>
      </c>
      <c r="D294" s="3" t="str">
        <f aca="false">IF(LEFT(C294,3)="09S",LEFT(C294,14),C294)</f>
        <v>NXH0HAL001838E6A489501</v>
      </c>
      <c r="E294" s="9" t="str">
        <f aca="false">IF(LEFT(C294,3)="09S",MID(C294,15,5),"")</f>
        <v/>
      </c>
      <c r="F294" s="9" t="n">
        <v>415275</v>
      </c>
      <c r="G294" s="3" t="s">
        <v>328</v>
      </c>
      <c r="H294" s="3" t="str">
        <f aca="false">IFERROR(INDEX(Sistema!$F$2:$F$421,MATCH(D294,Sistema!$G$2:$G$421,0)),"Não encontrado")</f>
        <v>Carrinho 12 - OCRE </v>
      </c>
      <c r="I294" s="3" t="str">
        <f aca="false">IFERROR(INDEX(Sistema!$C$2:$C$421,MATCH(D294,Sistema!$G$2:$G$421,0)),"")</f>
        <v>Acer Chromebook 11 N7 (C731, C731T)</v>
      </c>
      <c r="J294" s="9" t="str">
        <f aca="false">IF(LEFT(C294,3)="09S",IFERROR(MID(INDEX(Sistema!$D$2:$D$421,MATCH(D294,Sistema!$G$2:$G$421,0)),15,5),""),"")</f>
        <v/>
      </c>
      <c r="K294" s="9" t="str">
        <f aca="false">IF(H294="Não encontrado","Não encontrado",IF(H294&lt;&gt;A294,"Local diferente",IF(AND(E294&lt;&gt;"",J294&lt;&gt;"",UPPER(E294)&lt;&gt;UPPER(J294)),"Letra final diferente","Confere")))</f>
        <v>Confere</v>
      </c>
      <c r="L294" s="10"/>
      <c r="M294" s="10"/>
    </row>
    <row r="295" customFormat="false" ht="15" hidden="false" customHeight="false" outlineLevel="0" collapsed="false">
      <c r="A295" s="3" t="s">
        <v>19</v>
      </c>
      <c r="B295" s="9" t="n">
        <v>25</v>
      </c>
      <c r="C295" s="3" t="s">
        <v>638</v>
      </c>
      <c r="D295" s="3" t="str">
        <f aca="false">IF(LEFT(C295,3)="09S",LEFT(C295,14),C295)</f>
        <v>09S29QAR108777</v>
      </c>
      <c r="E295" s="9" t="str">
        <f aca="false">IF(LEFT(C295,3)="09S",MID(C295,15,5),"")</f>
        <v>H</v>
      </c>
      <c r="F295" s="9" t="n">
        <v>382382</v>
      </c>
      <c r="G295" s="3" t="s">
        <v>446</v>
      </c>
      <c r="H295" s="3" t="str">
        <f aca="false">IFERROR(INDEX(Sistema!$F$2:$F$421,MATCH(D295,Sistema!$G$2:$G$421,0)),"Não encontrado")</f>
        <v>Carrinho 12 - OCRE </v>
      </c>
      <c r="I295" s="3" t="str">
        <f aca="false">IFERROR(INDEX(Sistema!$C$2:$C$421,MATCH(D295,Sistema!$G$2:$G$421,0)),"")</f>
        <v>Samsung Chromebook 4</v>
      </c>
      <c r="J295" s="9" t="str">
        <f aca="false">IF(LEFT(C295,3)="09S",IFERROR(MID(INDEX(Sistema!$D$2:$D$421,MATCH(D295,Sistema!$G$2:$G$421,0)),15,5),""),"")</f>
        <v>H</v>
      </c>
      <c r="K295" s="9" t="str">
        <f aca="false">IF(H295="Não encontrado","Não encontrado",IF(H295&lt;&gt;A295,"Local diferente",IF(AND(E295&lt;&gt;"",J295&lt;&gt;"",UPPER(E295)&lt;&gt;UPPER(J295)),"Letra final diferente","Confere")))</f>
        <v>Confere</v>
      </c>
      <c r="L295" s="10"/>
      <c r="M295" s="10" t="s">
        <v>639</v>
      </c>
    </row>
    <row r="296" customFormat="false" ht="39.55" hidden="false" customHeight="false" outlineLevel="0" collapsed="false">
      <c r="A296" s="3" t="s">
        <v>20</v>
      </c>
      <c r="B296" s="9" t="n">
        <v>1</v>
      </c>
      <c r="C296" s="3" t="s">
        <v>62</v>
      </c>
      <c r="D296" s="3" t="str">
        <f aca="false">IF(LEFT(C296,3)="09S",LEFT(C296,14),C296)</f>
        <v>NXH0HAL001832D69D59501</v>
      </c>
      <c r="E296" s="9" t="str">
        <f aca="false">IF(LEFT(C296,3)="09S",MID(C296,15,5),"")</f>
        <v/>
      </c>
      <c r="F296" s="9" t="n">
        <v>414905</v>
      </c>
      <c r="G296" s="3" t="s">
        <v>328</v>
      </c>
      <c r="H296" s="3" t="str">
        <f aca="false">IFERROR(INDEX(Sistema!$F$2:$F$421,MATCH(D296,Sistema!$G$2:$G$421,0)),"Não encontrado")</f>
        <v>Carrinho 01 ( AZUL)</v>
      </c>
      <c r="I296" s="3" t="str">
        <f aca="false">IFERROR(INDEX(Sistema!$C$2:$C$421,MATCH(D296,Sistema!$G$2:$G$421,0)),"")</f>
        <v>Acer Chromebook 11 N7 (C731, C731T)</v>
      </c>
      <c r="J296" s="9" t="str">
        <f aca="false">IF(LEFT(C296,3)="09S",IFERROR(MID(INDEX(Sistema!$D$2:$D$421,MATCH(D296,Sistema!$G$2:$G$421,0)),15,5),""),"")</f>
        <v/>
      </c>
      <c r="K296" s="9" t="str">
        <f aca="false">IF(H296="Não encontrado","Não encontrado",IF(H296&lt;&gt;A296,"Local diferente",IF(AND(E296&lt;&gt;"",J296&lt;&gt;"",UPPER(E296)&lt;&gt;UPPER(J296)),"Letra final diferente","Confere")))</f>
        <v>Local diferente</v>
      </c>
      <c r="L296" s="10" t="s">
        <v>640</v>
      </c>
      <c r="M296" s="10" t="s">
        <v>641</v>
      </c>
    </row>
    <row r="297" customFormat="false" ht="26.85" hidden="false" customHeight="false" outlineLevel="0" collapsed="false">
      <c r="A297" s="3" t="s">
        <v>20</v>
      </c>
      <c r="B297" s="9" t="n">
        <v>2</v>
      </c>
      <c r="C297" s="3" t="s">
        <v>642</v>
      </c>
      <c r="D297" s="3" t="str">
        <f aca="false">IF(LEFT(C297,3)="09S",LEFT(C297,14),C297)</f>
        <v>NXH0HAL001830D1F789501</v>
      </c>
      <c r="E297" s="9" t="str">
        <f aca="false">IF(LEFT(C297,3)="09S",MID(C297,15,5),"")</f>
        <v/>
      </c>
      <c r="F297" s="9" t="n">
        <v>414461</v>
      </c>
      <c r="G297" s="3" t="s">
        <v>328</v>
      </c>
      <c r="H297" s="3" t="str">
        <f aca="false">IFERROR(INDEX(Sistema!$F$2:$F$421,MATCH(D297,Sistema!$G$2:$G$421,0)),"Não encontrado")</f>
        <v>CARRINHO RESERVA</v>
      </c>
      <c r="I297" s="3" t="str">
        <f aca="false">IFERROR(INDEX(Sistema!$C$2:$C$421,MATCH(D297,Sistema!$G$2:$G$421,0)),"")</f>
        <v>Acer Chromebook 11 N7 (C731, C731T)</v>
      </c>
      <c r="J297" s="9" t="str">
        <f aca="false">IF(LEFT(C297,3)="09S",IFERROR(MID(INDEX(Sistema!$D$2:$D$421,MATCH(D297,Sistema!$G$2:$G$421,0)),15,5),""),"")</f>
        <v/>
      </c>
      <c r="K297" s="9" t="str">
        <f aca="false">IF(H297="Não encontrado","Não encontrado",IF(H297&lt;&gt;A297,"Local diferente",IF(AND(E297&lt;&gt;"",J297&lt;&gt;"",UPPER(E297)&lt;&gt;UPPER(J297)),"Letra final diferente","Confere")))</f>
        <v>Confere</v>
      </c>
      <c r="L297" s="10"/>
      <c r="M297" s="10" t="s">
        <v>643</v>
      </c>
    </row>
    <row r="298" customFormat="false" ht="26.85" hidden="false" customHeight="false" outlineLevel="0" collapsed="false">
      <c r="A298" s="3" t="s">
        <v>20</v>
      </c>
      <c r="B298" s="9" t="n">
        <v>3</v>
      </c>
      <c r="C298" s="3" t="s">
        <v>196</v>
      </c>
      <c r="D298" s="3" t="str">
        <f aca="false">IF(LEFT(C298,3)="09S",LEFT(C298,14),C298)</f>
        <v>NXH0HAL001839ED8399501</v>
      </c>
      <c r="E298" s="9" t="str">
        <f aca="false">IF(LEFT(C298,3)="09S",MID(C298,15,5),"")</f>
        <v/>
      </c>
      <c r="F298" s="9" t="n">
        <v>416838</v>
      </c>
      <c r="G298" s="3" t="s">
        <v>328</v>
      </c>
      <c r="H298" s="3" t="str">
        <f aca="false">IFERROR(INDEX(Sistema!$F$2:$F$421,MATCH(D298,Sistema!$G$2:$G$421,0)),"Não encontrado")</f>
        <v>Não Alocado</v>
      </c>
      <c r="I298" s="3" t="str">
        <f aca="false">IFERROR(INDEX(Sistema!$C$2:$C$421,MATCH(D298,Sistema!$G$2:$G$421,0)),"")</f>
        <v>Acer Chromebook 11 N7 (C731, C731T)</v>
      </c>
      <c r="J298" s="9" t="str">
        <f aca="false">IF(LEFT(C298,3)="09S",IFERROR(MID(INDEX(Sistema!$D$2:$D$421,MATCH(D298,Sistema!$G$2:$G$421,0)),15,5),""),"")</f>
        <v/>
      </c>
      <c r="K298" s="9" t="str">
        <f aca="false">IF(H298="Não encontrado","Não encontrado",IF(H298&lt;&gt;A298,"Local diferente",IF(AND(E298&lt;&gt;"",J298&lt;&gt;"",UPPER(E298)&lt;&gt;UPPER(J298)),"Letra final diferente","Confere")))</f>
        <v>Local diferente</v>
      </c>
      <c r="L298" s="10" t="s">
        <v>506</v>
      </c>
      <c r="M298" s="10" t="s">
        <v>644</v>
      </c>
    </row>
    <row r="299" customFormat="false" ht="15" hidden="false" customHeight="false" outlineLevel="0" collapsed="false">
      <c r="A299" s="3" t="s">
        <v>20</v>
      </c>
      <c r="B299" s="9" t="n">
        <v>4</v>
      </c>
      <c r="C299" s="3" t="s">
        <v>645</v>
      </c>
      <c r="D299" s="3" t="str">
        <f aca="false">IF(LEFT(C299,3)="09S",LEFT(C299,14),C299)</f>
        <v>NXH0HAL001838E6B539501</v>
      </c>
      <c r="E299" s="9" t="str">
        <f aca="false">IF(LEFT(C299,3)="09S",MID(C299,15,5),"")</f>
        <v/>
      </c>
      <c r="F299" s="9" t="n">
        <v>415297</v>
      </c>
      <c r="G299" s="3" t="s">
        <v>328</v>
      </c>
      <c r="H299" s="3" t="str">
        <f aca="false">IFERROR(INDEX(Sistema!$F$2:$F$421,MATCH(D299,Sistema!$G$2:$G$421,0)),"Não encontrado")</f>
        <v>CARRINHO RESERVA</v>
      </c>
      <c r="I299" s="3" t="str">
        <f aca="false">IFERROR(INDEX(Sistema!$C$2:$C$421,MATCH(D299,Sistema!$G$2:$G$421,0)),"")</f>
        <v>Acer Chromebook 11 N7 (C731, C731T)</v>
      </c>
      <c r="J299" s="9" t="str">
        <f aca="false">IF(LEFT(C299,3)="09S",IFERROR(MID(INDEX(Sistema!$D$2:$D$421,MATCH(D299,Sistema!$G$2:$G$421,0)),15,5),""),"")</f>
        <v/>
      </c>
      <c r="K299" s="9" t="str">
        <f aca="false">IF(H299="Não encontrado","Não encontrado",IF(H299&lt;&gt;A299,"Local diferente",IF(AND(E299&lt;&gt;"",J299&lt;&gt;"",UPPER(E299)&lt;&gt;UPPER(J299)),"Letra final diferente","Confere")))</f>
        <v>Confere</v>
      </c>
      <c r="L299" s="10"/>
      <c r="M299" s="10" t="s">
        <v>646</v>
      </c>
    </row>
    <row r="300" customFormat="false" ht="15" hidden="false" customHeight="false" outlineLevel="0" collapsed="false">
      <c r="A300" s="3" t="s">
        <v>20</v>
      </c>
      <c r="B300" s="9" t="n">
        <v>5</v>
      </c>
      <c r="C300" s="3" t="s">
        <v>647</v>
      </c>
      <c r="D300" s="3" t="str">
        <f aca="false">IF(LEFT(C300,3)="09S",LEFT(C300,14),C300)</f>
        <v>NXH0HAL001838E735B9501</v>
      </c>
      <c r="E300" s="9" t="str">
        <f aca="false">IF(LEFT(C300,3)="09S",MID(C300,15,5),"")</f>
        <v/>
      </c>
      <c r="F300" s="9" t="n">
        <v>415300</v>
      </c>
      <c r="G300" s="3" t="s">
        <v>328</v>
      </c>
      <c r="H300" s="3" t="str">
        <f aca="false">IFERROR(INDEX(Sistema!$F$2:$F$421,MATCH(D300,Sistema!$G$2:$G$421,0)),"Não encontrado")</f>
        <v>CARRINHO RESERVA</v>
      </c>
      <c r="I300" s="3" t="str">
        <f aca="false">IFERROR(INDEX(Sistema!$C$2:$C$421,MATCH(D300,Sistema!$G$2:$G$421,0)),"")</f>
        <v>Acer Chromebook 11 N7 (C731, C731T)</v>
      </c>
      <c r="J300" s="9" t="str">
        <f aca="false">IF(LEFT(C300,3)="09S",IFERROR(MID(INDEX(Sistema!$D$2:$D$421,MATCH(D300,Sistema!$G$2:$G$421,0)),15,5),""),"")</f>
        <v/>
      </c>
      <c r="K300" s="9" t="str">
        <f aca="false">IF(H300="Não encontrado","Não encontrado",IF(H300&lt;&gt;A300,"Local diferente",IF(AND(E300&lt;&gt;"",J300&lt;&gt;"",UPPER(E300)&lt;&gt;UPPER(J300)),"Letra final diferente","Confere")))</f>
        <v>Confere</v>
      </c>
      <c r="L300" s="10"/>
      <c r="M300" s="10" t="s">
        <v>648</v>
      </c>
    </row>
    <row r="301" customFormat="false" ht="26.85" hidden="false" customHeight="false" outlineLevel="0" collapsed="false">
      <c r="A301" s="3" t="s">
        <v>20</v>
      </c>
      <c r="B301" s="9" t="n">
        <v>6</v>
      </c>
      <c r="C301" s="3" t="s">
        <v>649</v>
      </c>
      <c r="D301" s="3" t="str">
        <f aca="false">IF(LEFT(C301,3)="09S",LEFT(C301,14),C301)</f>
        <v>NXH0HAL001832D5F129501</v>
      </c>
      <c r="E301" s="9" t="str">
        <f aca="false">IF(LEFT(C301,3)="09S",MID(C301,15,5),"")</f>
        <v/>
      </c>
      <c r="F301" s="9" t="n">
        <v>415313</v>
      </c>
      <c r="G301" s="3" t="s">
        <v>328</v>
      </c>
      <c r="H301" s="3" t="str">
        <f aca="false">IFERROR(INDEX(Sistema!$F$2:$F$421,MATCH(D301,Sistema!$G$2:$G$421,0)),"Não encontrado")</f>
        <v>CARRINHO RESERVA</v>
      </c>
      <c r="I301" s="3" t="str">
        <f aca="false">IFERROR(INDEX(Sistema!$C$2:$C$421,MATCH(D301,Sistema!$G$2:$G$421,0)),"")</f>
        <v>Acer Chromebook 11 N7 (C731, C731T)</v>
      </c>
      <c r="J301" s="9" t="str">
        <f aca="false">IF(LEFT(C301,3)="09S",IFERROR(MID(INDEX(Sistema!$D$2:$D$421,MATCH(D301,Sistema!$G$2:$G$421,0)),15,5),""),"")</f>
        <v/>
      </c>
      <c r="K301" s="9" t="str">
        <f aca="false">IF(H301="Não encontrado","Não encontrado",IF(H301&lt;&gt;A301,"Local diferente",IF(AND(E301&lt;&gt;"",J301&lt;&gt;"",UPPER(E301)&lt;&gt;UPPER(J301)),"Letra final diferente","Confere")))</f>
        <v>Confere</v>
      </c>
      <c r="L301" s="10"/>
      <c r="M301" s="10" t="s">
        <v>650</v>
      </c>
    </row>
    <row r="302" customFormat="false" ht="26.85" hidden="false" customHeight="false" outlineLevel="0" collapsed="false">
      <c r="A302" s="3" t="s">
        <v>20</v>
      </c>
      <c r="B302" s="9" t="n">
        <v>7</v>
      </c>
      <c r="C302" s="3" t="s">
        <v>651</v>
      </c>
      <c r="D302" s="3" t="str">
        <f aca="false">IF(LEFT(C302,3)="09S",LEFT(C302,14),C302)</f>
        <v>NXH0HAL001839ECCC29501</v>
      </c>
      <c r="E302" s="9" t="str">
        <f aca="false">IF(LEFT(C302,3)="09S",MID(C302,15,5),"")</f>
        <v/>
      </c>
      <c r="F302" s="9" t="n">
        <v>417030</v>
      </c>
      <c r="G302" s="3" t="s">
        <v>328</v>
      </c>
      <c r="H302" s="3" t="str">
        <f aca="false">IFERROR(INDEX(Sistema!$F$2:$F$421,MATCH(D302,Sistema!$G$2:$G$421,0)),"Não encontrado")</f>
        <v>CARRINHO RESERVA</v>
      </c>
      <c r="I302" s="3" t="str">
        <f aca="false">IFERROR(INDEX(Sistema!$C$2:$C$421,MATCH(D302,Sistema!$G$2:$G$421,0)),"")</f>
        <v>Acer Chromebook 11 N7 (C731, C731T)</v>
      </c>
      <c r="J302" s="9" t="str">
        <f aca="false">IF(LEFT(C302,3)="09S",IFERROR(MID(INDEX(Sistema!$D$2:$D$421,MATCH(D302,Sistema!$G$2:$G$421,0)),15,5),""),"")</f>
        <v/>
      </c>
      <c r="K302" s="9" t="str">
        <f aca="false">IF(H302="Não encontrado","Não encontrado",IF(H302&lt;&gt;A302,"Local diferente",IF(AND(E302&lt;&gt;"",J302&lt;&gt;"",UPPER(E302)&lt;&gt;UPPER(J302)),"Letra final diferente","Confere")))</f>
        <v>Confere</v>
      </c>
      <c r="L302" s="10"/>
      <c r="M302" s="10" t="s">
        <v>652</v>
      </c>
    </row>
    <row r="303" customFormat="false" ht="15" hidden="false" customHeight="false" outlineLevel="0" collapsed="false">
      <c r="A303" s="3" t="s">
        <v>20</v>
      </c>
      <c r="B303" s="9" t="n">
        <v>8</v>
      </c>
      <c r="C303" s="3" t="s">
        <v>653</v>
      </c>
      <c r="D303" s="3" t="str">
        <f aca="false">IF(LEFT(C303,3)="09S",LEFT(C303,14),C303)</f>
        <v>NXH0HAL001837E5E619501</v>
      </c>
      <c r="E303" s="9" t="str">
        <f aca="false">IF(LEFT(C303,3)="09S",MID(C303,15,5),"")</f>
        <v/>
      </c>
      <c r="F303" s="9" t="n">
        <v>415266</v>
      </c>
      <c r="G303" s="3" t="s">
        <v>328</v>
      </c>
      <c r="H303" s="3" t="str">
        <f aca="false">IFERROR(INDEX(Sistema!$F$2:$F$421,MATCH(D303,Sistema!$G$2:$G$421,0)),"Não encontrado")</f>
        <v>CARRINHO RESERVA</v>
      </c>
      <c r="I303" s="3" t="str">
        <f aca="false">IFERROR(INDEX(Sistema!$C$2:$C$421,MATCH(D303,Sistema!$G$2:$G$421,0)),"")</f>
        <v>Acer Chromebook 11 N7 (C731, C731T)</v>
      </c>
      <c r="J303" s="9" t="str">
        <f aca="false">IF(LEFT(C303,3)="09S",IFERROR(MID(INDEX(Sistema!$D$2:$D$421,MATCH(D303,Sistema!$G$2:$G$421,0)),15,5),""),"")</f>
        <v/>
      </c>
      <c r="K303" s="9" t="str">
        <f aca="false">IF(H303="Não encontrado","Não encontrado",IF(H303&lt;&gt;A303,"Local diferente",IF(AND(E303&lt;&gt;"",J303&lt;&gt;"",UPPER(E303)&lt;&gt;UPPER(J303)),"Letra final diferente","Confere")))</f>
        <v>Confere</v>
      </c>
      <c r="L303" s="10"/>
      <c r="M303" s="10" t="s">
        <v>654</v>
      </c>
    </row>
    <row r="304" customFormat="false" ht="15" hidden="false" customHeight="false" outlineLevel="0" collapsed="false">
      <c r="A304" s="3" t="s">
        <v>20</v>
      </c>
      <c r="B304" s="9" t="n">
        <v>9</v>
      </c>
      <c r="C304" s="3" t="s">
        <v>655</v>
      </c>
      <c r="D304" s="3" t="str">
        <f aca="false">IF(LEFT(C304,3)="09S",LEFT(C304,14),C304)</f>
        <v>NXH0HAL0018481E8B39501</v>
      </c>
      <c r="E304" s="9" t="str">
        <f aca="false">IF(LEFT(C304,3)="09S",MID(C304,15,5),"")</f>
        <v/>
      </c>
      <c r="F304" s="9" t="n">
        <v>413885</v>
      </c>
      <c r="G304" s="3" t="s">
        <v>328</v>
      </c>
      <c r="H304" s="3" t="str">
        <f aca="false">IFERROR(INDEX(Sistema!$F$2:$F$421,MATCH(D304,Sistema!$G$2:$G$421,0)),"Não encontrado")</f>
        <v>CARRINHO RESERVA</v>
      </c>
      <c r="I304" s="3" t="str">
        <f aca="false">IFERROR(INDEX(Sistema!$C$2:$C$421,MATCH(D304,Sistema!$G$2:$G$421,0)),"")</f>
        <v>Acer Chromebook 11 N7 (C731, C731T)</v>
      </c>
      <c r="J304" s="9" t="str">
        <f aca="false">IF(LEFT(C304,3)="09S",IFERROR(MID(INDEX(Sistema!$D$2:$D$421,MATCH(D304,Sistema!$G$2:$G$421,0)),15,5),""),"")</f>
        <v/>
      </c>
      <c r="K304" s="9" t="str">
        <f aca="false">IF(H304="Não encontrado","Não encontrado",IF(H304&lt;&gt;A304,"Local diferente",IF(AND(E304&lt;&gt;"",J304&lt;&gt;"",UPPER(E304)&lt;&gt;UPPER(J304)),"Letra final diferente","Confere")))</f>
        <v>Confere</v>
      </c>
      <c r="L304" s="10"/>
      <c r="M304" s="10" t="s">
        <v>656</v>
      </c>
    </row>
    <row r="305" customFormat="false" ht="15" hidden="false" customHeight="false" outlineLevel="0" collapsed="false">
      <c r="A305" s="3" t="s">
        <v>20</v>
      </c>
      <c r="B305" s="9" t="n">
        <v>10</v>
      </c>
      <c r="C305" s="3" t="s">
        <v>657</v>
      </c>
      <c r="D305" s="3" t="str">
        <f aca="false">IF(LEFT(C305,3)="09S",LEFT(C305,14),C305)</f>
        <v>09S29QBR719250</v>
      </c>
      <c r="E305" s="9" t="str">
        <f aca="false">IF(LEFT(C305,3)="09S",MID(C305,15,5),"")</f>
        <v>D</v>
      </c>
      <c r="F305" s="9" t="n">
        <v>505192</v>
      </c>
      <c r="G305" s="3" t="s">
        <v>446</v>
      </c>
      <c r="H305" s="3" t="str">
        <f aca="false">IFERROR(INDEX(Sistema!$F$2:$F$421,MATCH(D305,Sistema!$G$2:$G$421,0)),"Não encontrado")</f>
        <v>CARRINHO RESERVA</v>
      </c>
      <c r="I305" s="3" t="str">
        <f aca="false">IFERROR(INDEX(Sistema!$C$2:$C$421,MATCH(D305,Sistema!$G$2:$G$421,0)),"")</f>
        <v>Samsung Chromebook 4 - 2021/Lote 1</v>
      </c>
      <c r="J305" s="9" t="str">
        <f aca="false">IF(LEFT(C305,3)="09S",IFERROR(MID(INDEX(Sistema!$D$2:$D$421,MATCH(D305,Sistema!$G$2:$G$421,0)),15,5),""),"")</f>
        <v/>
      </c>
      <c r="K305" s="9" t="str">
        <f aca="false">IF(H305="Não encontrado","Não encontrado",IF(H305&lt;&gt;A305,"Local diferente",IF(AND(E305&lt;&gt;"",J305&lt;&gt;"",UPPER(E305)&lt;&gt;UPPER(J305)),"Letra final diferente","Confere")))</f>
        <v>Confere</v>
      </c>
      <c r="L305" s="10"/>
      <c r="M305" s="10" t="s">
        <v>658</v>
      </c>
    </row>
    <row r="306" customFormat="false" ht="26.85" hidden="false" customHeight="false" outlineLevel="0" collapsed="false">
      <c r="A306" s="3" t="s">
        <v>20</v>
      </c>
      <c r="B306" s="9" t="n">
        <v>12</v>
      </c>
      <c r="C306" s="3" t="s">
        <v>659</v>
      </c>
      <c r="D306" s="3" t="str">
        <f aca="false">IF(LEFT(C306,3)="09S",LEFT(C306,14),C306)</f>
        <v>09S29QBR704277</v>
      </c>
      <c r="E306" s="9" t="str">
        <f aca="false">IF(LEFT(C306,3)="09S",MID(C306,15,5),"")</f>
        <v>D</v>
      </c>
      <c r="F306" s="9" t="n">
        <v>505070</v>
      </c>
      <c r="G306" s="3" t="s">
        <v>446</v>
      </c>
      <c r="H306" s="3" t="str">
        <f aca="false">IFERROR(INDEX(Sistema!$F$2:$F$421,MATCH(D306,Sistema!$G$2:$G$421,0)),"Não encontrado")</f>
        <v>CARRINHO RESERVA</v>
      </c>
      <c r="I306" s="3" t="str">
        <f aca="false">IFERROR(INDEX(Sistema!$C$2:$C$421,MATCH(D306,Sistema!$G$2:$G$421,0)),"")</f>
        <v>Samsung Chromebook 4 - 2021/Lote 1</v>
      </c>
      <c r="J306" s="9" t="str">
        <f aca="false">IF(LEFT(C306,3)="09S",IFERROR(MID(INDEX(Sistema!$D$2:$D$421,MATCH(D306,Sistema!$G$2:$G$421,0)),15,5),""),"")</f>
        <v/>
      </c>
      <c r="K306" s="9" t="str">
        <f aca="false">IF(H306="Não encontrado","Não encontrado",IF(H306&lt;&gt;A306,"Local diferente",IF(AND(E306&lt;&gt;"",J306&lt;&gt;"",UPPER(E306)&lt;&gt;UPPER(J306)),"Letra final diferente","Confere")))</f>
        <v>Confere</v>
      </c>
      <c r="L306" s="10"/>
      <c r="M306" s="10" t="s">
        <v>660</v>
      </c>
    </row>
    <row r="307" customFormat="false" ht="15" hidden="false" customHeight="false" outlineLevel="0" collapsed="false">
      <c r="A307" s="3" t="s">
        <v>20</v>
      </c>
      <c r="B307" s="9" t="n">
        <v>13</v>
      </c>
      <c r="C307" s="3" t="s">
        <v>661</v>
      </c>
      <c r="D307" s="3" t="str">
        <f aca="false">IF(LEFT(C307,3)="09S",LEFT(C307,14),C307)</f>
        <v>09S29QBR702126</v>
      </c>
      <c r="E307" s="9" t="str">
        <f aca="false">IF(LEFT(C307,3)="09S",MID(C307,15,5),"")</f>
        <v>R</v>
      </c>
      <c r="F307" s="9" t="n">
        <v>505139</v>
      </c>
      <c r="G307" s="3" t="s">
        <v>446</v>
      </c>
      <c r="H307" s="3" t="str">
        <f aca="false">IFERROR(INDEX(Sistema!$F$2:$F$421,MATCH(D307,Sistema!$G$2:$G$421,0)),"Não encontrado")</f>
        <v>CARRINHO RESERVA</v>
      </c>
      <c r="I307" s="3" t="str">
        <f aca="false">IFERROR(INDEX(Sistema!$C$2:$C$421,MATCH(D307,Sistema!$G$2:$G$421,0)),"")</f>
        <v>Samsung Chromebook 4 - 2021/Lote 1</v>
      </c>
      <c r="J307" s="9" t="str">
        <f aca="false">IF(LEFT(C307,3)="09S",IFERROR(MID(INDEX(Sistema!$D$2:$D$421,MATCH(D307,Sistema!$G$2:$G$421,0)),15,5),""),"")</f>
        <v/>
      </c>
      <c r="K307" s="9" t="str">
        <f aca="false">IF(H307="Não encontrado","Não encontrado",IF(H307&lt;&gt;A307,"Local diferente",IF(AND(E307&lt;&gt;"",J307&lt;&gt;"",UPPER(E307)&lt;&gt;UPPER(J307)),"Letra final diferente","Confere")))</f>
        <v>Confere</v>
      </c>
      <c r="L307" s="10"/>
      <c r="M307" s="10"/>
    </row>
    <row r="308" customFormat="false" ht="39.55" hidden="false" customHeight="false" outlineLevel="0" collapsed="false">
      <c r="A308" s="3" t="s">
        <v>21</v>
      </c>
      <c r="B308" s="9" t="n">
        <v>1</v>
      </c>
      <c r="C308" s="3" t="s">
        <v>201</v>
      </c>
      <c r="D308" s="3" t="str">
        <f aca="false">IF(LEFT(C308,3)="09S",LEFT(C308,14),C308)</f>
        <v>09S29QAR110887</v>
      </c>
      <c r="E308" s="9" t="str">
        <f aca="false">IF(LEFT(C308,3)="09S",MID(C308,15,5),"")</f>
        <v>M</v>
      </c>
      <c r="F308" s="9" t="n">
        <v>382852</v>
      </c>
      <c r="G308" s="3" t="s">
        <v>446</v>
      </c>
      <c r="H308" s="3" t="str">
        <f aca="false">IFERROR(INDEX(Sistema!$F$2:$F$421,MATCH(D308,Sistema!$G$2:$G$421,0)),"Não encontrado")</f>
        <v>CARRINHO RESERVA</v>
      </c>
      <c r="I308" s="3" t="str">
        <f aca="false">IFERROR(INDEX(Sistema!$C$2:$C$421,MATCH(D308,Sistema!$G$2:$G$421,0)),"")</f>
        <v>Samsung Chromebook 4</v>
      </c>
      <c r="J308" s="9" t="str">
        <f aca="false">IF(LEFT(C308,3)="09S",IFERROR(MID(INDEX(Sistema!$D$2:$D$421,MATCH(D308,Sistema!$G$2:$G$421,0)),15,5),""),"")</f>
        <v>M</v>
      </c>
      <c r="K308" s="9" t="str">
        <f aca="false">IF(H308="Não encontrado","Não encontrado",IF(H308&lt;&gt;A308,"Local diferente",IF(AND(E308&lt;&gt;"",J308&lt;&gt;"",UPPER(E308)&lt;&gt;UPPER(J308)),"Letra final diferente","Confere")))</f>
        <v>Local diferente</v>
      </c>
      <c r="L308" s="10" t="s">
        <v>662</v>
      </c>
      <c r="M308" s="10" t="s">
        <v>663</v>
      </c>
    </row>
    <row r="309" customFormat="false" ht="39.55" hidden="false" customHeight="false" outlineLevel="0" collapsed="false">
      <c r="A309" s="3" t="s">
        <v>21</v>
      </c>
      <c r="B309" s="9" t="n">
        <v>2</v>
      </c>
      <c r="C309" s="3" t="s">
        <v>204</v>
      </c>
      <c r="D309" s="3" t="str">
        <f aca="false">IF(LEFT(C309,3)="09S",LEFT(C309,14),C309)</f>
        <v>09S29QBNC00260</v>
      </c>
      <c r="E309" s="9" t="str">
        <f aca="false">IF(LEFT(C309,3)="09S",MID(C309,15,5),"")</f>
        <v>N</v>
      </c>
      <c r="F309" s="9" t="n">
        <v>382437</v>
      </c>
      <c r="G309" s="3" t="s">
        <v>446</v>
      </c>
      <c r="H309" s="3" t="str">
        <f aca="false">IFERROR(INDEX(Sistema!$F$2:$F$421,MATCH(D309,Sistema!$G$2:$G$421,0)),"Não encontrado")</f>
        <v>CARRINHO RESERVA</v>
      </c>
      <c r="I309" s="3" t="str">
        <f aca="false">IFERROR(INDEX(Sistema!$C$2:$C$421,MATCH(D309,Sistema!$G$2:$G$421,0)),"")</f>
        <v>Samsung Chromebook 4</v>
      </c>
      <c r="J309" s="9" t="str">
        <f aca="false">IF(LEFT(C309,3)="09S",IFERROR(MID(INDEX(Sistema!$D$2:$D$421,MATCH(D309,Sistema!$G$2:$G$421,0)),15,5),""),"")</f>
        <v>N</v>
      </c>
      <c r="K309" s="9" t="str">
        <f aca="false">IF(H309="Não encontrado","Não encontrado",IF(H309&lt;&gt;A309,"Local diferente",IF(AND(E309&lt;&gt;"",J309&lt;&gt;"",UPPER(E309)&lt;&gt;UPPER(J309)),"Letra final diferente","Confere")))</f>
        <v>Local diferente</v>
      </c>
      <c r="L309" s="10" t="s">
        <v>662</v>
      </c>
      <c r="M309" s="10" t="s">
        <v>664</v>
      </c>
    </row>
    <row r="310" customFormat="false" ht="39.55" hidden="false" customHeight="false" outlineLevel="0" collapsed="false">
      <c r="A310" s="3" t="s">
        <v>21</v>
      </c>
      <c r="B310" s="9" t="n">
        <v>3</v>
      </c>
      <c r="C310" s="3" t="s">
        <v>221</v>
      </c>
      <c r="D310" s="3" t="str">
        <f aca="false">IF(LEFT(C310,3)="09S",LEFT(C310,14),C310)</f>
        <v>09S29QBR712220</v>
      </c>
      <c r="E310" s="9" t="str">
        <f aca="false">IF(LEFT(C310,3)="09S",MID(C310,15,5),"")</f>
        <v>W</v>
      </c>
      <c r="F310" s="9" t="n">
        <v>503610</v>
      </c>
      <c r="G310" s="3" t="s">
        <v>446</v>
      </c>
      <c r="H310" s="3" t="str">
        <f aca="false">IFERROR(INDEX(Sistema!$F$2:$F$421,MATCH(D310,Sistema!$G$2:$G$421,0)),"Não encontrado")</f>
        <v>Carrinho 11 - PRETO</v>
      </c>
      <c r="I310" s="3" t="str">
        <f aca="false">IFERROR(INDEX(Sistema!$C$2:$C$421,MATCH(D310,Sistema!$G$2:$G$421,0)),"")</f>
        <v>Samsung Chromebook 4 - 2021/Lote 1</v>
      </c>
      <c r="J310" s="9" t="str">
        <f aca="false">IF(LEFT(C310,3)="09S",IFERROR(MID(INDEX(Sistema!$D$2:$D$421,MATCH(D310,Sistema!$G$2:$G$421,0)),15,5),""),"")</f>
        <v/>
      </c>
      <c r="K310" s="9" t="str">
        <f aca="false">IF(H310="Não encontrado","Não encontrado",IF(H310&lt;&gt;A310,"Local diferente",IF(AND(E310&lt;&gt;"",J310&lt;&gt;"",UPPER(E310)&lt;&gt;UPPER(J310)),"Letra final diferente","Confere")))</f>
        <v>Local diferente</v>
      </c>
      <c r="L310" s="10" t="s">
        <v>665</v>
      </c>
      <c r="M310" s="10" t="s">
        <v>666</v>
      </c>
    </row>
    <row r="311" customFormat="false" ht="39.55" hidden="false" customHeight="false" outlineLevel="0" collapsed="false">
      <c r="A311" s="3" t="s">
        <v>21</v>
      </c>
      <c r="B311" s="9" t="n">
        <v>4</v>
      </c>
      <c r="C311" s="3" t="s">
        <v>159</v>
      </c>
      <c r="D311" s="3" t="str">
        <f aca="false">IF(LEFT(C311,3)="09S",LEFT(C311,14),C311)</f>
        <v>09S29QAR110966</v>
      </c>
      <c r="E311" s="9" t="str">
        <f aca="false">IF(LEFT(C311,3)="09S",MID(C311,15,5),"")</f>
        <v>J</v>
      </c>
      <c r="F311" s="9" t="n">
        <v>382697</v>
      </c>
      <c r="G311" s="3" t="s">
        <v>446</v>
      </c>
      <c r="H311" s="3" t="str">
        <f aca="false">IFERROR(INDEX(Sistema!$F$2:$F$421,MATCH(D311,Sistema!$G$2:$G$421,0)),"Não encontrado")</f>
        <v>Carrinho 08 - CINZA</v>
      </c>
      <c r="I311" s="3" t="str">
        <f aca="false">IFERROR(INDEX(Sistema!$C$2:$C$421,MATCH(D311,Sistema!$G$2:$G$421,0)),"")</f>
        <v>Samsung Chromebook 4</v>
      </c>
      <c r="J311" s="9" t="str">
        <f aca="false">IF(LEFT(C311,3)="09S",IFERROR(MID(INDEX(Sistema!$D$2:$D$421,MATCH(D311,Sistema!$G$2:$G$421,0)),15,5),""),"")</f>
        <v>J</v>
      </c>
      <c r="K311" s="9" t="str">
        <f aca="false">IF(H311="Não encontrado","Não encontrado",IF(H311&lt;&gt;A311,"Local diferente",IF(AND(E311&lt;&gt;"",J311&lt;&gt;"",UPPER(E311)&lt;&gt;UPPER(J311)),"Letra final diferente","Confere")))</f>
        <v>Local diferente</v>
      </c>
      <c r="L311" s="10" t="s">
        <v>667</v>
      </c>
      <c r="M311" s="10" t="s">
        <v>668</v>
      </c>
    </row>
    <row r="312" customFormat="false" ht="26.85" hidden="false" customHeight="false" outlineLevel="0" collapsed="false">
      <c r="A312" s="3" t="s">
        <v>21</v>
      </c>
      <c r="B312" s="9" t="n">
        <v>5</v>
      </c>
      <c r="C312" s="3" t="s">
        <v>669</v>
      </c>
      <c r="D312" s="3" t="str">
        <f aca="false">IF(LEFT(C312,3)="09S",LEFT(C312,14),C312)</f>
        <v>09S29QAR109516</v>
      </c>
      <c r="E312" s="9" t="str">
        <f aca="false">IF(LEFT(C312,3)="09S",MID(C312,15,5),"")</f>
        <v>Z</v>
      </c>
      <c r="F312" s="9" t="s">
        <v>396</v>
      </c>
      <c r="G312" s="3" t="s">
        <v>446</v>
      </c>
      <c r="H312" s="3" t="str">
        <f aca="false">IFERROR(INDEX(Sistema!$F$2:$F$421,MATCH(D312,Sistema!$G$2:$G$421,0)),"Não encontrado")</f>
        <v>Carrinho 13 - CIANO</v>
      </c>
      <c r="I312" s="3" t="str">
        <f aca="false">IFERROR(INDEX(Sistema!$C$2:$C$421,MATCH(D312,Sistema!$G$2:$G$421,0)),"")</f>
        <v>Samsung Chromebook 4</v>
      </c>
      <c r="J312" s="9" t="str">
        <f aca="false">IF(LEFT(C312,3)="09S",IFERROR(MID(INDEX(Sistema!$D$2:$D$421,MATCH(D312,Sistema!$G$2:$G$421,0)),15,5),""),"")</f>
        <v>Z</v>
      </c>
      <c r="K312" s="9" t="str">
        <f aca="false">IF(H312="Não encontrado","Não encontrado",IF(H312&lt;&gt;A312,"Local diferente",IF(AND(E312&lt;&gt;"",J312&lt;&gt;"",UPPER(E312)&lt;&gt;UPPER(J312)),"Letra final diferente","Confere")))</f>
        <v>Confere</v>
      </c>
      <c r="L312" s="10"/>
      <c r="M312" s="10" t="s">
        <v>670</v>
      </c>
    </row>
    <row r="313" customFormat="false" ht="39.55" hidden="false" customHeight="false" outlineLevel="0" collapsed="false">
      <c r="A313" s="3" t="s">
        <v>21</v>
      </c>
      <c r="B313" s="9" t="n">
        <v>6</v>
      </c>
      <c r="C313" s="3" t="s">
        <v>226</v>
      </c>
      <c r="D313" s="3" t="str">
        <f aca="false">IF(LEFT(C313,3)="09S",LEFT(C313,14),C313)</f>
        <v>09S29QBR702226</v>
      </c>
      <c r="E313" s="9" t="str">
        <f aca="false">IF(LEFT(C313,3)="09S",MID(C313,15,5),"")</f>
        <v>H</v>
      </c>
      <c r="F313" s="9" t="n">
        <v>505091</v>
      </c>
      <c r="G313" s="3" t="s">
        <v>446</v>
      </c>
      <c r="H313" s="3" t="str">
        <f aca="false">IFERROR(INDEX(Sistema!$F$2:$F$421,MATCH(D313,Sistema!$G$2:$G$421,0)),"Não encontrado")</f>
        <v>Carrinho 10 - MARROM</v>
      </c>
      <c r="I313" s="3" t="str">
        <f aca="false">IFERROR(INDEX(Sistema!$C$2:$C$421,MATCH(D313,Sistema!$G$2:$G$421,0)),"")</f>
        <v>Samsung Chromebook 4 - 2021/Lote 1</v>
      </c>
      <c r="J313" s="9" t="str">
        <f aca="false">IF(LEFT(C313,3)="09S",IFERROR(MID(INDEX(Sistema!$D$2:$D$421,MATCH(D313,Sistema!$G$2:$G$421,0)),15,5),""),"")</f>
        <v/>
      </c>
      <c r="K313" s="9" t="str">
        <f aca="false">IF(H313="Não encontrado","Não encontrado",IF(H313&lt;&gt;A313,"Local diferente",IF(AND(E313&lt;&gt;"",J313&lt;&gt;"",UPPER(E313)&lt;&gt;UPPER(J313)),"Letra final diferente","Confere")))</f>
        <v>Local diferente</v>
      </c>
      <c r="L313" s="10" t="s">
        <v>671</v>
      </c>
      <c r="M313" s="10" t="s">
        <v>672</v>
      </c>
    </row>
    <row r="314" customFormat="false" ht="39.55" hidden="false" customHeight="false" outlineLevel="0" collapsed="false">
      <c r="A314" s="3" t="s">
        <v>21</v>
      </c>
      <c r="B314" s="9" t="n">
        <v>7</v>
      </c>
      <c r="C314" s="3" t="s">
        <v>229</v>
      </c>
      <c r="D314" s="3" t="str">
        <f aca="false">IF(LEFT(C314,3)="09S",LEFT(C314,14),C314)</f>
        <v>09S29QBR711970</v>
      </c>
      <c r="E314" s="9" t="str">
        <f aca="false">IF(LEFT(C314,3)="09S",MID(C314,15,5),"")</f>
        <v>X</v>
      </c>
      <c r="F314" s="9" t="n">
        <v>503606</v>
      </c>
      <c r="G314" s="3" t="s">
        <v>446</v>
      </c>
      <c r="H314" s="3" t="str">
        <f aca="false">IFERROR(INDEX(Sistema!$F$2:$F$421,MATCH(D314,Sistema!$G$2:$G$421,0)),"Não encontrado")</f>
        <v>Carrinho 03  ( VERMELHO - CHROME R11 - ED. IN</v>
      </c>
      <c r="I314" s="3" t="str">
        <f aca="false">IFERROR(INDEX(Sistema!$C$2:$C$421,MATCH(D314,Sistema!$G$2:$G$421,0)),"")</f>
        <v>Samsung Chromebook 4 - 2021/Lote 1</v>
      </c>
      <c r="J314" s="9" t="str">
        <f aca="false">IF(LEFT(C314,3)="09S",IFERROR(MID(INDEX(Sistema!$D$2:$D$421,MATCH(D314,Sistema!$G$2:$G$421,0)),15,5),""),"")</f>
        <v/>
      </c>
      <c r="K314" s="9" t="str">
        <f aca="false">IF(H314="Não encontrado","Não encontrado",IF(H314&lt;&gt;A314,"Local diferente",IF(AND(E314&lt;&gt;"",J314&lt;&gt;"",UPPER(E314)&lt;&gt;UPPER(J314)),"Letra final diferente","Confere")))</f>
        <v>Local diferente</v>
      </c>
      <c r="L314" s="10" t="s">
        <v>673</v>
      </c>
      <c r="M314" s="10" t="s">
        <v>674</v>
      </c>
    </row>
    <row r="315" customFormat="false" ht="39.55" hidden="false" customHeight="false" outlineLevel="0" collapsed="false">
      <c r="A315" s="3" t="s">
        <v>21</v>
      </c>
      <c r="B315" s="9" t="n">
        <v>8</v>
      </c>
      <c r="C315" s="3" t="s">
        <v>232</v>
      </c>
      <c r="D315" s="3" t="str">
        <f aca="false">IF(LEFT(C315,3)="09S",LEFT(C315,14),C315)</f>
        <v>09S29QAR110716</v>
      </c>
      <c r="E315" s="9" t="str">
        <f aca="false">IF(LEFT(C315,3)="09S",MID(C315,15,5),"")</f>
        <v>H</v>
      </c>
      <c r="F315" s="9" t="n">
        <v>382712</v>
      </c>
      <c r="G315" s="3" t="s">
        <v>446</v>
      </c>
      <c r="H315" s="3" t="str">
        <f aca="false">IFERROR(INDEX(Sistema!$F$2:$F$421,MATCH(D315,Sistema!$G$2:$G$421,0)),"Não encontrado")</f>
        <v>MANUTENÇÃO - 2025 -SALA COFRE </v>
      </c>
      <c r="I315" s="3" t="str">
        <f aca="false">IFERROR(INDEX(Sistema!$C$2:$C$421,MATCH(D315,Sistema!$G$2:$G$421,0)),"")</f>
        <v>Samsung Chromebook 4</v>
      </c>
      <c r="J315" s="9" t="str">
        <f aca="false">IF(LEFT(C315,3)="09S",IFERROR(MID(INDEX(Sistema!$D$2:$D$421,MATCH(D315,Sistema!$G$2:$G$421,0)),15,5),""),"")</f>
        <v>H</v>
      </c>
      <c r="K315" s="9" t="str">
        <f aca="false">IF(H315="Não encontrado","Não encontrado",IF(H315&lt;&gt;A315,"Local diferente",IF(AND(E315&lt;&gt;"",J315&lt;&gt;"",UPPER(E315)&lt;&gt;UPPER(J315)),"Letra final diferente","Confere")))</f>
        <v>Local diferente</v>
      </c>
      <c r="L315" s="10" t="s">
        <v>675</v>
      </c>
      <c r="M315" s="10" t="s">
        <v>676</v>
      </c>
    </row>
    <row r="316" customFormat="false" ht="15" hidden="false" customHeight="false" outlineLevel="0" collapsed="false">
      <c r="A316" s="3" t="s">
        <v>21</v>
      </c>
      <c r="B316" s="9" t="n">
        <v>9</v>
      </c>
      <c r="C316" s="3" t="s">
        <v>677</v>
      </c>
      <c r="D316" s="3" t="str">
        <f aca="false">IF(LEFT(C316,3)="09S",LEFT(C316,14),C316)</f>
        <v>09S29QBR707184</v>
      </c>
      <c r="E316" s="9" t="str">
        <f aca="false">IF(LEFT(C316,3)="09S",MID(C316,15,5),"")</f>
        <v>F</v>
      </c>
      <c r="F316" s="9" t="n">
        <v>503628</v>
      </c>
      <c r="G316" s="3" t="s">
        <v>446</v>
      </c>
      <c r="H316" s="3" t="str">
        <f aca="false">IFERROR(INDEX(Sistema!$F$2:$F$421,MATCH(D316,Sistema!$G$2:$G$421,0)),"Não encontrado")</f>
        <v>Carrinho 13 - CIANO</v>
      </c>
      <c r="I316" s="3" t="str">
        <f aca="false">IFERROR(INDEX(Sistema!$C$2:$C$421,MATCH(D316,Sistema!$G$2:$G$421,0)),"")</f>
        <v>Samsung Chromebook 4 - 2021/Lote 1</v>
      </c>
      <c r="J316" s="9" t="str">
        <f aca="false">IF(LEFT(C316,3)="09S",IFERROR(MID(INDEX(Sistema!$D$2:$D$421,MATCH(D316,Sistema!$G$2:$G$421,0)),15,5),""),"")</f>
        <v/>
      </c>
      <c r="K316" s="9" t="str">
        <f aca="false">IF(H316="Não encontrado","Não encontrado",IF(H316&lt;&gt;A316,"Local diferente",IF(AND(E316&lt;&gt;"",J316&lt;&gt;"",UPPER(E316)&lt;&gt;UPPER(J316)),"Letra final diferente","Confere")))</f>
        <v>Confere</v>
      </c>
      <c r="L316" s="10"/>
      <c r="M316" s="10" t="s">
        <v>676</v>
      </c>
    </row>
    <row r="317" customFormat="false" ht="15" hidden="false" customHeight="false" outlineLevel="0" collapsed="false">
      <c r="A317" s="3" t="s">
        <v>21</v>
      </c>
      <c r="B317" s="9" t="n">
        <v>10</v>
      </c>
      <c r="C317" s="3" t="s">
        <v>678</v>
      </c>
      <c r="D317" s="3" t="str">
        <f aca="false">IF(LEFT(C317,3)="09S",LEFT(C317,14),C317)</f>
        <v>09S29QBR701873</v>
      </c>
      <c r="E317" s="9" t="str">
        <f aca="false">IF(LEFT(C317,3)="09S",MID(C317,15,5),"")</f>
        <v>A</v>
      </c>
      <c r="F317" s="9" t="n">
        <v>505191</v>
      </c>
      <c r="G317" s="3" t="s">
        <v>446</v>
      </c>
      <c r="H317" s="3" t="str">
        <f aca="false">IFERROR(INDEX(Sistema!$F$2:$F$421,MATCH(D317,Sistema!$G$2:$G$421,0)),"Não encontrado")</f>
        <v>Carrinho 13 - CIANO</v>
      </c>
      <c r="I317" s="3" t="str">
        <f aca="false">IFERROR(INDEX(Sistema!$C$2:$C$421,MATCH(D317,Sistema!$G$2:$G$421,0)),"")</f>
        <v>Samsung Chromebook 4 - 2021/Lote 1</v>
      </c>
      <c r="J317" s="9" t="str">
        <f aca="false">IF(LEFT(C317,3)="09S",IFERROR(MID(INDEX(Sistema!$D$2:$D$421,MATCH(D317,Sistema!$G$2:$G$421,0)),15,5),""),"")</f>
        <v/>
      </c>
      <c r="K317" s="9" t="str">
        <f aca="false">IF(H317="Não encontrado","Não encontrado",IF(H317&lt;&gt;A317,"Local diferente",IF(AND(E317&lt;&gt;"",J317&lt;&gt;"",UPPER(E317)&lt;&gt;UPPER(J317)),"Letra final diferente","Confere")))</f>
        <v>Confere</v>
      </c>
      <c r="L317" s="10"/>
      <c r="M317" s="10" t="s">
        <v>676</v>
      </c>
    </row>
    <row r="318" customFormat="false" ht="39.55" hidden="false" customHeight="false" outlineLevel="0" collapsed="false">
      <c r="A318" s="3" t="s">
        <v>21</v>
      </c>
      <c r="B318" s="9" t="n">
        <v>11</v>
      </c>
      <c r="C318" s="3" t="s">
        <v>208</v>
      </c>
      <c r="D318" s="3" t="str">
        <f aca="false">IF(LEFT(C318,3)="09S",LEFT(C318,14),C318)</f>
        <v>09S29QAR150922</v>
      </c>
      <c r="E318" s="9" t="str">
        <f aca="false">IF(LEFT(C318,3)="09S",MID(C318,15,5),"")</f>
        <v>B</v>
      </c>
      <c r="F318" s="9" t="n">
        <v>382687</v>
      </c>
      <c r="G318" s="3" t="s">
        <v>446</v>
      </c>
      <c r="H318" s="3" t="str">
        <f aca="false">IFERROR(INDEX(Sistema!$F$2:$F$421,MATCH(D318,Sistema!$G$2:$G$421,0)),"Não encontrado")</f>
        <v>Não encontrado</v>
      </c>
      <c r="I318" s="3" t="str">
        <f aca="false">IFERROR(INDEX(Sistema!$C$2:$C$421,MATCH(D318,Sistema!$G$2:$G$421,0)),"")</f>
        <v/>
      </c>
      <c r="J318" s="9" t="str">
        <f aca="false">IF(LEFT(C318,3)="09S",IFERROR(MID(INDEX(Sistema!$D$2:$D$421,MATCH(D318,Sistema!$G$2:$G$421,0)),15,5),""),"")</f>
        <v/>
      </c>
      <c r="K318" s="9" t="str">
        <f aca="false">IF(H318="Não encontrado","Não encontrado",IF(H318&lt;&gt;A318,"Local diferente",IF(AND(E318&lt;&gt;"",J318&lt;&gt;"",UPPER(E318)&lt;&gt;UPPER(J318)),"Letra final diferente","Confere")))</f>
        <v>Não encontrado</v>
      </c>
      <c r="L318" s="10" t="s">
        <v>679</v>
      </c>
      <c r="M318" s="10" t="s">
        <v>676</v>
      </c>
    </row>
    <row r="319" customFormat="false" ht="15" hidden="false" customHeight="false" outlineLevel="0" collapsed="false">
      <c r="A319" s="3" t="s">
        <v>21</v>
      </c>
      <c r="B319" s="9" t="n">
        <v>12</v>
      </c>
      <c r="C319" s="3" t="s">
        <v>680</v>
      </c>
      <c r="D319" s="3" t="str">
        <f aca="false">IF(LEFT(C319,3)="09S",LEFT(C319,14),C319)</f>
        <v>09S29QBR702067</v>
      </c>
      <c r="E319" s="9" t="str">
        <f aca="false">IF(LEFT(C319,3)="09S",MID(C319,15,5),"")</f>
        <v>X</v>
      </c>
      <c r="F319" s="9" t="n">
        <v>505298</v>
      </c>
      <c r="G319" s="3" t="s">
        <v>446</v>
      </c>
      <c r="H319" s="3" t="str">
        <f aca="false">IFERROR(INDEX(Sistema!$F$2:$F$421,MATCH(D319,Sistema!$G$2:$G$421,0)),"Não encontrado")</f>
        <v>Carrinho 13 - CIANO</v>
      </c>
      <c r="I319" s="3" t="str">
        <f aca="false">IFERROR(INDEX(Sistema!$C$2:$C$421,MATCH(D319,Sistema!$G$2:$G$421,0)),"")</f>
        <v>Samsung Chromebook 4 - 2021/Lote 1</v>
      </c>
      <c r="J319" s="9" t="str">
        <f aca="false">IF(LEFT(C319,3)="09S",IFERROR(MID(INDEX(Sistema!$D$2:$D$421,MATCH(D319,Sistema!$G$2:$G$421,0)),15,5),""),"")</f>
        <v/>
      </c>
      <c r="K319" s="9" t="str">
        <f aca="false">IF(H319="Não encontrado","Não encontrado",IF(H319&lt;&gt;A319,"Local diferente",IF(AND(E319&lt;&gt;"",J319&lt;&gt;"",UPPER(E319)&lt;&gt;UPPER(J319)),"Letra final diferente","Confere")))</f>
        <v>Confere</v>
      </c>
      <c r="L319" s="10"/>
      <c r="M319" s="10" t="s">
        <v>676</v>
      </c>
    </row>
    <row r="320" customFormat="false" ht="77.6" hidden="false" customHeight="false" outlineLevel="0" collapsed="false">
      <c r="A320" s="3" t="s">
        <v>21</v>
      </c>
      <c r="B320" s="9" t="n">
        <v>13</v>
      </c>
      <c r="C320" s="3" t="s">
        <v>236</v>
      </c>
      <c r="D320" s="3" t="str">
        <f aca="false">IF(LEFT(C320,3)="09S",LEFT(C320,14),C320)</f>
        <v>09S29QBR707480</v>
      </c>
      <c r="E320" s="9" t="str">
        <f aca="false">IF(LEFT(C320,3)="09S",MID(C320,15,5),"")</f>
        <v>M</v>
      </c>
      <c r="F320" s="9" t="n">
        <v>503730</v>
      </c>
      <c r="G320" s="3" t="s">
        <v>446</v>
      </c>
      <c r="H320" s="3" t="str">
        <f aca="false">IFERROR(INDEX(Sistema!$F$2:$F$421,MATCH(D320,Sistema!$G$2:$G$421,0)),"Não encontrado")</f>
        <v>Carrinho 10 - MARROM</v>
      </c>
      <c r="I320" s="3" t="str">
        <f aca="false">IFERROR(INDEX(Sistema!$C$2:$C$421,MATCH(D320,Sistema!$G$2:$G$421,0)),"")</f>
        <v>Samsung Chromebook 4 - 2021/Lote 1</v>
      </c>
      <c r="J320" s="9" t="str">
        <f aca="false">IF(LEFT(C320,3)="09S",IFERROR(MID(INDEX(Sistema!$D$2:$D$421,MATCH(D320,Sistema!$G$2:$G$421,0)),15,5),""),"")</f>
        <v/>
      </c>
      <c r="K320" s="9" t="str">
        <f aca="false">IF(H320="Não encontrado","Não encontrado",IF(H320&lt;&gt;A320,"Local diferente",IF(AND(E320&lt;&gt;"",J320&lt;&gt;"",UPPER(E320)&lt;&gt;UPPER(J320)),"Letra final diferente","Confere")))</f>
        <v>Local diferente</v>
      </c>
      <c r="L320" s="10" t="s">
        <v>681</v>
      </c>
      <c r="M320" s="10" t="s">
        <v>682</v>
      </c>
    </row>
    <row r="321" customFormat="false" ht="39.55" hidden="false" customHeight="false" outlineLevel="0" collapsed="false">
      <c r="A321" s="3" t="s">
        <v>21</v>
      </c>
      <c r="B321" s="9" t="n">
        <v>14</v>
      </c>
      <c r="C321" s="3" t="s">
        <v>117</v>
      </c>
      <c r="D321" s="3" t="str">
        <f aca="false">IF(LEFT(C321,3)="09S",LEFT(C321,14),C321)</f>
        <v>09S29QAR109513</v>
      </c>
      <c r="E321" s="9" t="str">
        <f aca="false">IF(LEFT(C321,3)="09S",MID(C321,15,5),"")</f>
        <v>J</v>
      </c>
      <c r="F321" s="9" t="n">
        <v>382748</v>
      </c>
      <c r="G321" s="3" t="s">
        <v>446</v>
      </c>
      <c r="H321" s="3" t="str">
        <f aca="false">IFERROR(INDEX(Sistema!$F$2:$F$421,MATCH(D321,Sistema!$G$2:$G$421,0)),"Não encontrado")</f>
        <v>Carrinho 05 ( ROXO)</v>
      </c>
      <c r="I321" s="3" t="str">
        <f aca="false">IFERROR(INDEX(Sistema!$C$2:$C$421,MATCH(D321,Sistema!$G$2:$G$421,0)),"")</f>
        <v>Samsung Chromebook 4</v>
      </c>
      <c r="J321" s="9" t="str">
        <f aca="false">IF(LEFT(C321,3)="09S",IFERROR(MID(INDEX(Sistema!$D$2:$D$421,MATCH(D321,Sistema!$G$2:$G$421,0)),15,5),""),"")</f>
        <v>J</v>
      </c>
      <c r="K321" s="9" t="str">
        <f aca="false">IF(H321="Não encontrado","Não encontrado",IF(H321&lt;&gt;A321,"Local diferente",IF(AND(E321&lt;&gt;"",J321&lt;&gt;"",UPPER(E321)&lt;&gt;UPPER(J321)),"Letra final diferente","Confere")))</f>
        <v>Local diferente</v>
      </c>
      <c r="L321" s="10" t="s">
        <v>683</v>
      </c>
      <c r="M321" s="10" t="s">
        <v>684</v>
      </c>
    </row>
    <row r="322" customFormat="false" ht="26.85" hidden="false" customHeight="false" outlineLevel="0" collapsed="false">
      <c r="A322" s="3" t="s">
        <v>21</v>
      </c>
      <c r="B322" s="9" t="n">
        <v>15</v>
      </c>
      <c r="C322" s="3" t="s">
        <v>212</v>
      </c>
      <c r="D322" s="3" t="str">
        <f aca="false">IF(LEFT(C322,3)="09S",LEFT(C322,14),C322)</f>
        <v>09S29QAR111100</v>
      </c>
      <c r="E322" s="9" t="str">
        <f aca="false">IF(LEFT(C322,3)="09S",MID(C322,15,5),"")</f>
        <v>0</v>
      </c>
      <c r="F322" s="9" t="n">
        <v>382855</v>
      </c>
      <c r="G322" s="3" t="s">
        <v>446</v>
      </c>
      <c r="H322" s="3" t="str">
        <f aca="false">IFERROR(INDEX(Sistema!$F$2:$F$421,MATCH(D322,Sistema!$G$2:$G$421,0)),"Não encontrado")</f>
        <v>Carrinho 13 - CIANO</v>
      </c>
      <c r="I322" s="3" t="str">
        <f aca="false">IFERROR(INDEX(Sistema!$C$2:$C$421,MATCH(D322,Sistema!$G$2:$G$421,0)),"")</f>
        <v>Samsung Chromebook 4</v>
      </c>
      <c r="J322" s="9" t="str">
        <f aca="false">IF(LEFT(C322,3)="09S",IFERROR(MID(INDEX(Sistema!$D$2:$D$421,MATCH(D322,Sistema!$G$2:$G$421,0)),15,5),""),"")</f>
        <v>D</v>
      </c>
      <c r="K322" s="9" t="str">
        <f aca="false">IF(H322="Não encontrado","Não encontrado",IF(H322&lt;&gt;A322,"Local diferente",IF(AND(E322&lt;&gt;"",J322&lt;&gt;"",UPPER(E322)&lt;&gt;UPPER(J322)),"Letra final diferente","Confere")))</f>
        <v>Letra final diferente</v>
      </c>
      <c r="L322" s="10" t="s">
        <v>685</v>
      </c>
      <c r="M322" s="10" t="s">
        <v>686</v>
      </c>
    </row>
    <row r="323" customFormat="false" ht="15" hidden="false" customHeight="false" outlineLevel="0" collapsed="false">
      <c r="A323" s="3" t="s">
        <v>21</v>
      </c>
      <c r="B323" s="9" t="n">
        <v>16</v>
      </c>
      <c r="C323" s="3" t="s">
        <v>687</v>
      </c>
      <c r="D323" s="3" t="str">
        <f aca="false">IF(LEFT(C323,3)="09S",LEFT(C323,14),C323)</f>
        <v>09S29QAR109626</v>
      </c>
      <c r="E323" s="9" t="str">
        <f aca="false">IF(LEFT(C323,3)="09S",MID(C323,15,5),"")</f>
        <v>P</v>
      </c>
      <c r="F323" s="9" t="n">
        <v>382796</v>
      </c>
      <c r="G323" s="3" t="s">
        <v>446</v>
      </c>
      <c r="H323" s="3" t="str">
        <f aca="false">IFERROR(INDEX(Sistema!$F$2:$F$421,MATCH(D323,Sistema!$G$2:$G$421,0)),"Não encontrado")</f>
        <v>Carrinho 13 - CIANO</v>
      </c>
      <c r="I323" s="3" t="str">
        <f aca="false">IFERROR(INDEX(Sistema!$C$2:$C$421,MATCH(D323,Sistema!$G$2:$G$421,0)),"")</f>
        <v>Samsung Chromebook 4</v>
      </c>
      <c r="J323" s="9" t="str">
        <f aca="false">IF(LEFT(C323,3)="09S",IFERROR(MID(INDEX(Sistema!$D$2:$D$421,MATCH(D323,Sistema!$G$2:$G$421,0)),15,5),""),"")</f>
        <v>P</v>
      </c>
      <c r="K323" s="9" t="str">
        <f aca="false">IF(H323="Não encontrado","Não encontrado",IF(H323&lt;&gt;A323,"Local diferente",IF(AND(E323&lt;&gt;"",J323&lt;&gt;"",UPPER(E323)&lt;&gt;UPPER(J323)),"Letra final diferente","Confere")))</f>
        <v>Confere</v>
      </c>
      <c r="L323" s="10"/>
      <c r="M323" s="10" t="s">
        <v>684</v>
      </c>
    </row>
    <row r="324" customFormat="false" ht="39.55" hidden="false" customHeight="false" outlineLevel="0" collapsed="false">
      <c r="A324" s="3" t="s">
        <v>21</v>
      </c>
      <c r="B324" s="9" t="n">
        <v>17</v>
      </c>
      <c r="C324" s="3" t="s">
        <v>110</v>
      </c>
      <c r="D324" s="3" t="str">
        <f aca="false">IF(LEFT(C324,3)="09S",LEFT(C324,14),C324)</f>
        <v>NXH0HAL001838E69669501</v>
      </c>
      <c r="E324" s="9" t="str">
        <f aca="false">IF(LEFT(C324,3)="09S",MID(C324,15,5),"")</f>
        <v/>
      </c>
      <c r="F324" s="9" t="n">
        <v>415322</v>
      </c>
      <c r="G324" s="3" t="s">
        <v>328</v>
      </c>
      <c r="H324" s="3" t="str">
        <f aca="false">IFERROR(INDEX(Sistema!$F$2:$F$421,MATCH(D324,Sistema!$G$2:$G$421,0)),"Não encontrado")</f>
        <v>Carrinho 04 ( LARANJA )</v>
      </c>
      <c r="I324" s="3" t="str">
        <f aca="false">IFERROR(INDEX(Sistema!$C$2:$C$421,MATCH(D324,Sistema!$G$2:$G$421,0)),"")</f>
        <v>Acer Chromebook 11 N7 (C731, C731T)</v>
      </c>
      <c r="J324" s="9" t="str">
        <f aca="false">IF(LEFT(C324,3)="09S",IFERROR(MID(INDEX(Sistema!$D$2:$D$421,MATCH(D324,Sistema!$G$2:$G$421,0)),15,5),""),"")</f>
        <v/>
      </c>
      <c r="K324" s="9" t="str">
        <f aca="false">IF(H324="Não encontrado","Não encontrado",IF(H324&lt;&gt;A324,"Local diferente",IF(AND(E324&lt;&gt;"",J324&lt;&gt;"",UPPER(E324)&lt;&gt;UPPER(J324)),"Letra final diferente","Confere")))</f>
        <v>Local diferente</v>
      </c>
      <c r="L324" s="10" t="s">
        <v>688</v>
      </c>
      <c r="M324" s="10" t="s">
        <v>689</v>
      </c>
    </row>
    <row r="325" customFormat="false" ht="26.85" hidden="false" customHeight="false" outlineLevel="0" collapsed="false">
      <c r="A325" s="3" t="s">
        <v>21</v>
      </c>
      <c r="B325" s="9" t="n">
        <v>18</v>
      </c>
      <c r="C325" s="3" t="s">
        <v>690</v>
      </c>
      <c r="D325" s="3" t="str">
        <f aca="false">IF(LEFT(C325,3)="09S",LEFT(C325,14),C325)</f>
        <v>NXH0HAL001832D67DC9501</v>
      </c>
      <c r="E325" s="9" t="str">
        <f aca="false">IF(LEFT(C325,3)="09S",MID(C325,15,5),"")</f>
        <v/>
      </c>
      <c r="F325" s="9" t="n">
        <v>413325</v>
      </c>
      <c r="G325" s="3" t="s">
        <v>328</v>
      </c>
      <c r="H325" s="3" t="str">
        <f aca="false">IFERROR(INDEX(Sistema!$F$2:$F$421,MATCH(D325,Sistema!$G$2:$G$421,0)),"Não encontrado")</f>
        <v>Carrinho 13 - CIANO</v>
      </c>
      <c r="I325" s="3" t="str">
        <f aca="false">IFERROR(INDEX(Sistema!$C$2:$C$421,MATCH(D325,Sistema!$G$2:$G$421,0)),"")</f>
        <v>Acer Chromebook 11 N7 (C731, C731T)</v>
      </c>
      <c r="J325" s="9" t="str">
        <f aca="false">IF(LEFT(C325,3)="09S",IFERROR(MID(INDEX(Sistema!$D$2:$D$421,MATCH(D325,Sistema!$G$2:$G$421,0)),15,5),""),"")</f>
        <v/>
      </c>
      <c r="K325" s="9" t="str">
        <f aca="false">IF(H325="Não encontrado","Não encontrado",IF(H325&lt;&gt;A325,"Local diferente",IF(AND(E325&lt;&gt;"",J325&lt;&gt;"",UPPER(E325)&lt;&gt;UPPER(J325)),"Letra final diferente","Confere")))</f>
        <v>Confere</v>
      </c>
      <c r="L325" s="10"/>
      <c r="M325" s="10" t="s">
        <v>691</v>
      </c>
    </row>
    <row r="326" customFormat="false" ht="39.55" hidden="false" customHeight="false" outlineLevel="0" collapsed="false">
      <c r="A326" s="3" t="s">
        <v>21</v>
      </c>
      <c r="B326" s="9" t="n">
        <v>19</v>
      </c>
      <c r="C326" s="3" t="s">
        <v>184</v>
      </c>
      <c r="D326" s="3" t="str">
        <f aca="false">IF(LEFT(C326,3)="09S",LEFT(C326,14),C326)</f>
        <v>NXH0HAL001838E76A89501</v>
      </c>
      <c r="E326" s="9" t="str">
        <f aca="false">IF(LEFT(C326,3)="09S",MID(C326,15,5),"")</f>
        <v/>
      </c>
      <c r="F326" s="9" t="n">
        <v>415383</v>
      </c>
      <c r="G326" s="3" t="s">
        <v>328</v>
      </c>
      <c r="H326" s="3" t="str">
        <f aca="false">IFERROR(INDEX(Sistema!$F$2:$F$421,MATCH(D326,Sistema!$G$2:$G$421,0)),"Não encontrado")</f>
        <v>Carrinho 12 - OCRE </v>
      </c>
      <c r="I326" s="3" t="str">
        <f aca="false">IFERROR(INDEX(Sistema!$C$2:$C$421,MATCH(D326,Sistema!$G$2:$G$421,0)),"")</f>
        <v>Acer Chromebook 11 N7 (C731, C731T)</v>
      </c>
      <c r="J326" s="9" t="str">
        <f aca="false">IF(LEFT(C326,3)="09S",IFERROR(MID(INDEX(Sistema!$D$2:$D$421,MATCH(D326,Sistema!$G$2:$G$421,0)),15,5),""),"")</f>
        <v/>
      </c>
      <c r="K326" s="9" t="str">
        <f aca="false">IF(H326="Não encontrado","Não encontrado",IF(H326&lt;&gt;A326,"Local diferente",IF(AND(E326&lt;&gt;"",J326&lt;&gt;"",UPPER(E326)&lt;&gt;UPPER(J326)),"Letra final diferente","Confere")))</f>
        <v>Local diferente</v>
      </c>
      <c r="L326" s="10" t="s">
        <v>692</v>
      </c>
      <c r="M326" s="10" t="s">
        <v>693</v>
      </c>
    </row>
    <row r="327" customFormat="false" ht="26.85" hidden="false" customHeight="false" outlineLevel="0" collapsed="false">
      <c r="A327" s="3" t="s">
        <v>21</v>
      </c>
      <c r="B327" s="9" t="n">
        <v>20</v>
      </c>
      <c r="C327" s="3" t="s">
        <v>694</v>
      </c>
      <c r="D327" s="3" t="str">
        <f aca="false">IF(LEFT(C327,3)="09S",LEFT(C327,14),C327)</f>
        <v>NXH0HAL0018481E9B89501</v>
      </c>
      <c r="E327" s="9" t="str">
        <f aca="false">IF(LEFT(C327,3)="09S",MID(C327,15,5),"")</f>
        <v/>
      </c>
      <c r="F327" s="9" t="n">
        <v>413799</v>
      </c>
      <c r="G327" s="3" t="s">
        <v>328</v>
      </c>
      <c r="H327" s="3" t="str">
        <f aca="false">IFERROR(INDEX(Sistema!$F$2:$F$421,MATCH(D327,Sistema!$G$2:$G$421,0)),"Não encontrado")</f>
        <v>Carrinho 13 - CIANO</v>
      </c>
      <c r="I327" s="3" t="str">
        <f aca="false">IFERROR(INDEX(Sistema!$C$2:$C$421,MATCH(D327,Sistema!$G$2:$G$421,0)),"")</f>
        <v>Acer Chromebook 11 N7 (C731, C731T)</v>
      </c>
      <c r="J327" s="9" t="str">
        <f aca="false">IF(LEFT(C327,3)="09S",IFERROR(MID(INDEX(Sistema!$D$2:$D$421,MATCH(D327,Sistema!$G$2:$G$421,0)),15,5),""),"")</f>
        <v/>
      </c>
      <c r="K327" s="9" t="str">
        <f aca="false">IF(H327="Não encontrado","Não encontrado",IF(H327&lt;&gt;A327,"Local diferente",IF(AND(E327&lt;&gt;"",J327&lt;&gt;"",UPPER(E327)&lt;&gt;UPPER(J327)),"Letra final diferente","Confere")))</f>
        <v>Confere</v>
      </c>
      <c r="L327" s="10"/>
      <c r="M327" s="10" t="s">
        <v>695</v>
      </c>
    </row>
    <row r="328" customFormat="false" ht="15" hidden="false" customHeight="false" outlineLevel="0" collapsed="false">
      <c r="A328" s="3" t="s">
        <v>21</v>
      </c>
      <c r="B328" s="9" t="n">
        <v>21</v>
      </c>
      <c r="C328" s="3" t="s">
        <v>696</v>
      </c>
      <c r="D328" s="3" t="str">
        <f aca="false">IF(LEFT(C328,3)="09S",LEFT(C328,14),C328)</f>
        <v>NXH0HAL001838E6A519501</v>
      </c>
      <c r="E328" s="9" t="str">
        <f aca="false">IF(LEFT(C328,3)="09S",MID(C328,15,5),"")</f>
        <v/>
      </c>
      <c r="F328" s="9" t="n">
        <v>415288</v>
      </c>
      <c r="G328" s="3" t="s">
        <v>328</v>
      </c>
      <c r="H328" s="3" t="str">
        <f aca="false">IFERROR(INDEX(Sistema!$F$2:$F$421,MATCH(D328,Sistema!$G$2:$G$421,0)),"Não encontrado")</f>
        <v>Carrinho 13 - CIANO</v>
      </c>
      <c r="I328" s="3" t="str">
        <f aca="false">IFERROR(INDEX(Sistema!$C$2:$C$421,MATCH(D328,Sistema!$G$2:$G$421,0)),"")</f>
        <v>Acer Chromebook 11 N7 (C731, C731T)</v>
      </c>
      <c r="J328" s="9" t="str">
        <f aca="false">IF(LEFT(C328,3)="09S",IFERROR(MID(INDEX(Sistema!$D$2:$D$421,MATCH(D328,Sistema!$G$2:$G$421,0)),15,5),""),"")</f>
        <v/>
      </c>
      <c r="K328" s="9" t="str">
        <f aca="false">IF(H328="Não encontrado","Não encontrado",IF(H328&lt;&gt;A328,"Local diferente",IF(AND(E328&lt;&gt;"",J328&lt;&gt;"",UPPER(E328)&lt;&gt;UPPER(J328)),"Letra final diferente","Confere")))</f>
        <v>Confere</v>
      </c>
      <c r="L328" s="10"/>
      <c r="M328" s="10" t="s">
        <v>676</v>
      </c>
    </row>
    <row r="329" customFormat="false" ht="26.85" hidden="false" customHeight="false" outlineLevel="0" collapsed="false">
      <c r="A329" s="3" t="s">
        <v>21</v>
      </c>
      <c r="B329" s="9" t="n">
        <v>22</v>
      </c>
      <c r="C329" s="3" t="s">
        <v>697</v>
      </c>
      <c r="D329" s="3" t="str">
        <f aca="false">IF(LEFT(C329,3)="09S",LEFT(C329,14),C329)</f>
        <v>NXH0HAL001830D18CC9501</v>
      </c>
      <c r="E329" s="9" t="str">
        <f aca="false">IF(LEFT(C329,3)="09S",MID(C329,15,5),"")</f>
        <v/>
      </c>
      <c r="F329" s="9" t="s">
        <v>396</v>
      </c>
      <c r="G329" s="3" t="s">
        <v>328</v>
      </c>
      <c r="H329" s="3" t="str">
        <f aca="false">IFERROR(INDEX(Sistema!$F$2:$F$421,MATCH(D329,Sistema!$G$2:$G$421,0)),"Não encontrado")</f>
        <v>Carrinho 13 - CIANO</v>
      </c>
      <c r="I329" s="3" t="str">
        <f aca="false">IFERROR(INDEX(Sistema!$C$2:$C$421,MATCH(D329,Sistema!$G$2:$G$421,0)),"")</f>
        <v>Acer Chromebook 11 N7 (C731, C731T)</v>
      </c>
      <c r="J329" s="9" t="str">
        <f aca="false">IF(LEFT(C329,3)="09S",IFERROR(MID(INDEX(Sistema!$D$2:$D$421,MATCH(D329,Sistema!$G$2:$G$421,0)),15,5),""),"")</f>
        <v/>
      </c>
      <c r="K329" s="9" t="str">
        <f aca="false">IF(H329="Não encontrado","Não encontrado",IF(H329&lt;&gt;A329,"Local diferente",IF(AND(E329&lt;&gt;"",J329&lt;&gt;"",UPPER(E329)&lt;&gt;UPPER(J329)),"Letra final diferente","Confere")))</f>
        <v>Confere</v>
      </c>
      <c r="L329" s="10"/>
      <c r="M329" s="10" t="s">
        <v>698</v>
      </c>
    </row>
    <row r="330" customFormat="false" ht="39.55" hidden="false" customHeight="false" outlineLevel="0" collapsed="false">
      <c r="A330" s="3" t="s">
        <v>21</v>
      </c>
      <c r="B330" s="9" t="n">
        <v>23</v>
      </c>
      <c r="C330" s="3" t="s">
        <v>246</v>
      </c>
      <c r="D330" s="3" t="str">
        <f aca="false">IF(LEFT(C330,3)="09S",LEFT(C330,14),C330)</f>
        <v>NXH0HAL001838E738F9501</v>
      </c>
      <c r="E330" s="9" t="str">
        <f aca="false">IF(LEFT(C330,3)="09S",MID(C330,15,5),"")</f>
        <v/>
      </c>
      <c r="F330" s="9" t="n">
        <v>415326</v>
      </c>
      <c r="G330" s="3" t="s">
        <v>328</v>
      </c>
      <c r="H330" s="3" t="str">
        <f aca="false">IFERROR(INDEX(Sistema!$F$2:$F$421,MATCH(D330,Sistema!$G$2:$G$421,0)),"Não encontrado")</f>
        <v>MANUTENÇÃO - 2025 -SALA COFRE </v>
      </c>
      <c r="I330" s="3" t="str">
        <f aca="false">IFERROR(INDEX(Sistema!$C$2:$C$421,MATCH(D330,Sistema!$G$2:$G$421,0)),"")</f>
        <v>Acer Chromebook 11 N7 (C731, C731T)</v>
      </c>
      <c r="J330" s="9" t="str">
        <f aca="false">IF(LEFT(C330,3)="09S",IFERROR(MID(INDEX(Sistema!$D$2:$D$421,MATCH(D330,Sistema!$G$2:$G$421,0)),15,5),""),"")</f>
        <v/>
      </c>
      <c r="K330" s="9" t="str">
        <f aca="false">IF(H330="Não encontrado","Não encontrado",IF(H330&lt;&gt;A330,"Local diferente",IF(AND(E330&lt;&gt;"",J330&lt;&gt;"",UPPER(E330)&lt;&gt;UPPER(J330)),"Letra final diferente","Confere")))</f>
        <v>Local diferente</v>
      </c>
      <c r="L330" s="10" t="s">
        <v>675</v>
      </c>
      <c r="M330" s="10" t="s">
        <v>699</v>
      </c>
    </row>
    <row r="331" customFormat="false" ht="39.55" hidden="false" customHeight="false" outlineLevel="0" collapsed="false">
      <c r="A331" s="3" t="s">
        <v>21</v>
      </c>
      <c r="B331" s="9" t="n">
        <v>24</v>
      </c>
      <c r="C331" s="3" t="s">
        <v>181</v>
      </c>
      <c r="D331" s="3" t="str">
        <f aca="false">IF(LEFT(C331,3)="09S",LEFT(C331,14),C331)</f>
        <v>NXH0HAL001838E71669501</v>
      </c>
      <c r="E331" s="9" t="str">
        <f aca="false">IF(LEFT(C331,3)="09S",MID(C331,15,5),"")</f>
        <v/>
      </c>
      <c r="F331" s="9" t="n">
        <v>415284</v>
      </c>
      <c r="G331" s="3" t="s">
        <v>328</v>
      </c>
      <c r="H331" s="3" t="str">
        <f aca="false">IFERROR(INDEX(Sistema!$F$2:$F$421,MATCH(D331,Sistema!$G$2:$G$421,0)),"Não encontrado")</f>
        <v>Carrinho 12 - OCRE </v>
      </c>
      <c r="I331" s="3" t="str">
        <f aca="false">IFERROR(INDEX(Sistema!$C$2:$C$421,MATCH(D331,Sistema!$G$2:$G$421,0)),"")</f>
        <v>Acer Chromebook 11 N7 (C731, C731T)</v>
      </c>
      <c r="J331" s="9" t="str">
        <f aca="false">IF(LEFT(C331,3)="09S",IFERROR(MID(INDEX(Sistema!$D$2:$D$421,MATCH(D331,Sistema!$G$2:$G$421,0)),15,5),""),"")</f>
        <v/>
      </c>
      <c r="K331" s="9" t="str">
        <f aca="false">IF(H331="Não encontrado","Não encontrado",IF(H331&lt;&gt;A331,"Local diferente",IF(AND(E331&lt;&gt;"",J331&lt;&gt;"",UPPER(E331)&lt;&gt;UPPER(J331)),"Letra final diferente","Confere")))</f>
        <v>Local diferente</v>
      </c>
      <c r="L331" s="10" t="s">
        <v>692</v>
      </c>
      <c r="M331" s="10" t="s">
        <v>684</v>
      </c>
    </row>
    <row r="332" customFormat="false" ht="15" hidden="false" customHeight="false" outlineLevel="0" collapsed="false">
      <c r="A332" s="3" t="s">
        <v>21</v>
      </c>
      <c r="B332" s="9" t="n">
        <v>25</v>
      </c>
      <c r="C332" s="3" t="s">
        <v>700</v>
      </c>
      <c r="D332" s="3" t="str">
        <f aca="false">IF(LEFT(C332,3)="09S",LEFT(C332,14),C332)</f>
        <v>NXH0HAL001838E744C9501</v>
      </c>
      <c r="E332" s="9" t="str">
        <f aca="false">IF(LEFT(C332,3)="09S",MID(C332,15,5),"")</f>
        <v/>
      </c>
      <c r="F332" s="9" t="n">
        <v>415315</v>
      </c>
      <c r="G332" s="3" t="s">
        <v>328</v>
      </c>
      <c r="H332" s="3" t="str">
        <f aca="false">IFERROR(INDEX(Sistema!$F$2:$F$421,MATCH(D332,Sistema!$G$2:$G$421,0)),"Não encontrado")</f>
        <v>Carrinho 13 - CIANO</v>
      </c>
      <c r="I332" s="3" t="str">
        <f aca="false">IFERROR(INDEX(Sistema!$C$2:$C$421,MATCH(D332,Sistema!$G$2:$G$421,0)),"")</f>
        <v>Acer Chromebook 11 N7 (C731, C731T)</v>
      </c>
      <c r="J332" s="9" t="str">
        <f aca="false">IF(LEFT(C332,3)="09S",IFERROR(MID(INDEX(Sistema!$D$2:$D$421,MATCH(D332,Sistema!$G$2:$G$421,0)),15,5),""),"")</f>
        <v/>
      </c>
      <c r="K332" s="9" t="str">
        <f aca="false">IF(H332="Não encontrado","Não encontrado",IF(H332&lt;&gt;A332,"Local diferente",IF(AND(E332&lt;&gt;"",J332&lt;&gt;"",UPPER(E332)&lt;&gt;UPPER(J332)),"Letra final diferente","Confere")))</f>
        <v>Confere</v>
      </c>
      <c r="L332" s="10"/>
      <c r="M332" s="10" t="s">
        <v>684</v>
      </c>
    </row>
    <row r="333" customFormat="false" ht="39.55" hidden="false" customHeight="false" outlineLevel="0" collapsed="false">
      <c r="A333" s="3" t="s">
        <v>21</v>
      </c>
      <c r="B333" s="9" t="n">
        <v>26</v>
      </c>
      <c r="C333" s="3" t="s">
        <v>249</v>
      </c>
      <c r="D333" s="3" t="str">
        <f aca="false">IF(LEFT(C333,3)="09S",LEFT(C333,14),C333)</f>
        <v>NXH0HAL001832D6B3F9501</v>
      </c>
      <c r="E333" s="9" t="str">
        <f aca="false">IF(LEFT(C333,3)="09S",MID(C333,15,5),"")</f>
        <v/>
      </c>
      <c r="F333" s="9" t="n">
        <v>413781</v>
      </c>
      <c r="G333" s="3" t="s">
        <v>328</v>
      </c>
      <c r="H333" s="3" t="str">
        <f aca="false">IFERROR(INDEX(Sistema!$F$2:$F$421,MATCH(D333,Sistema!$G$2:$G$421,0)),"Não encontrado")</f>
        <v>MANUTENÇÃO - 2025 -SALA COFRE </v>
      </c>
      <c r="I333" s="3" t="str">
        <f aca="false">IFERROR(INDEX(Sistema!$C$2:$C$421,MATCH(D333,Sistema!$G$2:$G$421,0)),"")</f>
        <v>Acer Chromebook 11 N7 (C731, C731T)</v>
      </c>
      <c r="J333" s="9" t="str">
        <f aca="false">IF(LEFT(C333,3)="09S",IFERROR(MID(INDEX(Sistema!$D$2:$D$421,MATCH(D333,Sistema!$G$2:$G$421,0)),15,5),""),"")</f>
        <v/>
      </c>
      <c r="K333" s="9" t="str">
        <f aca="false">IF(H333="Não encontrado","Não encontrado",IF(H333&lt;&gt;A333,"Local diferente",IF(AND(E333&lt;&gt;"",J333&lt;&gt;"",UPPER(E333)&lt;&gt;UPPER(J333)),"Letra final diferente","Confere")))</f>
        <v>Local diferente</v>
      </c>
      <c r="L333" s="10" t="s">
        <v>675</v>
      </c>
      <c r="M333" s="10" t="s">
        <v>701</v>
      </c>
    </row>
    <row r="334" customFormat="false" ht="39.55" hidden="false" customHeight="false" outlineLevel="0" collapsed="false">
      <c r="A334" s="3" t="s">
        <v>21</v>
      </c>
      <c r="B334" s="9" t="n">
        <v>27</v>
      </c>
      <c r="C334" s="3" t="s">
        <v>178</v>
      </c>
      <c r="D334" s="3" t="str">
        <f aca="false">IF(LEFT(C334,3)="09S",LEFT(C334,14),C334)</f>
        <v>NXH0HAL001838E7BC19501</v>
      </c>
      <c r="E334" s="9" t="str">
        <f aca="false">IF(LEFT(C334,3)="09S",MID(C334,15,5),"")</f>
        <v/>
      </c>
      <c r="F334" s="9" t="n">
        <v>414354</v>
      </c>
      <c r="G334" s="3" t="s">
        <v>328</v>
      </c>
      <c r="H334" s="3" t="str">
        <f aca="false">IFERROR(INDEX(Sistema!$F$2:$F$421,MATCH(D334,Sistema!$G$2:$G$421,0)),"Não encontrado")</f>
        <v>Carrinho 12 - OCRE </v>
      </c>
      <c r="I334" s="3" t="str">
        <f aca="false">IFERROR(INDEX(Sistema!$C$2:$C$421,MATCH(D334,Sistema!$G$2:$G$421,0)),"")</f>
        <v>Acer Chromebook 11 N7 (C731, C731T)</v>
      </c>
      <c r="J334" s="9" t="str">
        <f aca="false">IF(LEFT(C334,3)="09S",IFERROR(MID(INDEX(Sistema!$D$2:$D$421,MATCH(D334,Sistema!$G$2:$G$421,0)),15,5),""),"")</f>
        <v/>
      </c>
      <c r="K334" s="9" t="str">
        <f aca="false">IF(H334="Não encontrado","Não encontrado",IF(H334&lt;&gt;A334,"Local diferente",IF(AND(E334&lt;&gt;"",J334&lt;&gt;"",UPPER(E334)&lt;&gt;UPPER(J334)),"Letra final diferente","Confere")))</f>
        <v>Local diferente</v>
      </c>
      <c r="L334" s="10" t="s">
        <v>692</v>
      </c>
      <c r="M334" s="10" t="s">
        <v>684</v>
      </c>
    </row>
    <row r="335" customFormat="false" ht="39.55" hidden="false" customHeight="false" outlineLevel="0" collapsed="false">
      <c r="A335" s="3" t="s">
        <v>21</v>
      </c>
      <c r="B335" s="9" t="n">
        <v>28</v>
      </c>
      <c r="C335" s="3" t="s">
        <v>702</v>
      </c>
      <c r="D335" s="3" t="str">
        <f aca="false">IF(LEFT(C335,3)="09S",LEFT(C335,14),C335)</f>
        <v>NXH0HAL001838E7B809501</v>
      </c>
      <c r="E335" s="9" t="str">
        <f aca="false">IF(LEFT(C335,3)="09S",MID(C335,15,5),"")</f>
        <v/>
      </c>
      <c r="F335" s="9" t="n">
        <v>414530</v>
      </c>
      <c r="G335" s="3" t="s">
        <v>328</v>
      </c>
      <c r="H335" s="3" t="str">
        <f aca="false">IFERROR(INDEX(Sistema!$F$2:$F$421,MATCH(D335,Sistema!$G$2:$G$421,0)),"Não encontrado")</f>
        <v>Carrinho 13 - CIANO</v>
      </c>
      <c r="I335" s="3" t="str">
        <f aca="false">IFERROR(INDEX(Sistema!$C$2:$C$421,MATCH(D335,Sistema!$G$2:$G$421,0)),"")</f>
        <v>Acer Chromebook 11 N7 (C731, C731T)</v>
      </c>
      <c r="J335" s="9" t="str">
        <f aca="false">IF(LEFT(C335,3)="09S",IFERROR(MID(INDEX(Sistema!$D$2:$D$421,MATCH(D335,Sistema!$G$2:$G$421,0)),15,5),""),"")</f>
        <v/>
      </c>
      <c r="K335" s="9" t="str">
        <f aca="false">IF(H335="Não encontrado","Não encontrado",IF(H335&lt;&gt;A335,"Local diferente",IF(AND(E335&lt;&gt;"",J335&lt;&gt;"",UPPER(E335)&lt;&gt;UPPER(J335)),"Letra final diferente","Confere")))</f>
        <v>Confere</v>
      </c>
      <c r="L335" s="10"/>
      <c r="M335" s="10" t="s">
        <v>703</v>
      </c>
    </row>
    <row r="336" customFormat="false" ht="26.85" hidden="false" customHeight="false" outlineLevel="0" collapsed="false">
      <c r="A336" s="3" t="s">
        <v>21</v>
      </c>
      <c r="B336" s="9" t="n">
        <v>29</v>
      </c>
      <c r="C336" s="3" t="s">
        <v>704</v>
      </c>
      <c r="D336" s="3" t="str">
        <f aca="false">IF(LEFT(C336,3)="09S",LEFT(C336,14),C336)</f>
        <v>09S29QAR109471</v>
      </c>
      <c r="E336" s="9" t="str">
        <f aca="false">IF(LEFT(C336,3)="09S",MID(C336,15,5),"")</f>
        <v>H</v>
      </c>
      <c r="F336" s="9" t="n">
        <v>382738</v>
      </c>
      <c r="G336" s="3" t="s">
        <v>446</v>
      </c>
      <c r="H336" s="3" t="str">
        <f aca="false">IFERROR(INDEX(Sistema!$F$2:$F$421,MATCH(D336,Sistema!$G$2:$G$421,0)),"Não encontrado")</f>
        <v>Carrinho 13 - CIANO</v>
      </c>
      <c r="I336" s="3" t="str">
        <f aca="false">IFERROR(INDEX(Sistema!$C$2:$C$421,MATCH(D336,Sistema!$G$2:$G$421,0)),"")</f>
        <v>Samsung Chromebook 4</v>
      </c>
      <c r="J336" s="9" t="str">
        <f aca="false">IF(LEFT(C336,3)="09S",IFERROR(MID(INDEX(Sistema!$D$2:$D$421,MATCH(D336,Sistema!$G$2:$G$421,0)),15,5),""),"")</f>
        <v>H</v>
      </c>
      <c r="K336" s="9" t="str">
        <f aca="false">IF(H336="Não encontrado","Não encontrado",IF(H336&lt;&gt;A336,"Local diferente",IF(AND(E336&lt;&gt;"",J336&lt;&gt;"",UPPER(E336)&lt;&gt;UPPER(J336)),"Letra final diferente","Confere")))</f>
        <v>Confere</v>
      </c>
      <c r="L336" s="10"/>
      <c r="M336" s="10" t="s">
        <v>705</v>
      </c>
    </row>
  </sheetData>
  <autoFilter ref="A3:M336"/>
  <mergeCells count="1">
    <mergeCell ref="A1:M1"/>
  </mergeCells>
  <conditionalFormatting sqref="A4:M336">
    <cfRule type="expression" priority="2" aboveAverage="0" equalAverage="0" bottom="0" percent="0" rank="0" text="" dxfId="5">
      <formula>$K4&lt;&gt;"Confere"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38"/>
    <col collapsed="false" customWidth="true" hidden="false" outlineLevel="0" max="4" min="4" style="0" width="26"/>
    <col collapsed="false" customWidth="true" hidden="false" outlineLevel="0" max="5" min="5" style="0" width="10"/>
    <col collapsed="false" customWidth="true" hidden="false" outlineLevel="0" max="6" min="6" style="0" width="42"/>
    <col collapsed="false" customWidth="true" hidden="false" outlineLevel="0" max="8" min="7" style="0" width="22"/>
    <col collapsed="false" customWidth="true" hidden="false" outlineLevel="0" max="9" min="9" style="0" width="80"/>
  </cols>
  <sheetData>
    <row r="1" customFormat="false" ht="31.5" hidden="false" customHeight="true" outlineLevel="0" collapsed="false">
      <c r="A1" s="2" t="s">
        <v>706</v>
      </c>
      <c r="B1" s="2" t="s">
        <v>707</v>
      </c>
      <c r="C1" s="2" t="s">
        <v>708</v>
      </c>
      <c r="D1" s="2" t="s">
        <v>709</v>
      </c>
      <c r="E1" s="2" t="s">
        <v>324</v>
      </c>
      <c r="F1" s="2" t="s">
        <v>710</v>
      </c>
      <c r="G1" s="2" t="s">
        <v>320</v>
      </c>
      <c r="H1" s="2" t="s">
        <v>711</v>
      </c>
      <c r="I1" s="2" t="s">
        <v>325</v>
      </c>
    </row>
    <row r="2" customFormat="false" ht="15" hidden="false" customHeight="false" outlineLevel="0" collapsed="false">
      <c r="A2" s="3" t="s">
        <v>712</v>
      </c>
      <c r="B2" s="3" t="s">
        <v>713</v>
      </c>
      <c r="C2" s="3" t="s">
        <v>714</v>
      </c>
      <c r="D2" s="3" t="s">
        <v>655</v>
      </c>
      <c r="E2" s="3" t="s">
        <v>715</v>
      </c>
      <c r="F2" s="3" t="s">
        <v>20</v>
      </c>
      <c r="G2" s="3" t="str">
        <f aca="false">IF(LEFT(D2,3)="09S",LEFT(D2,14),D2)</f>
        <v>NXH0HAL0018481E8B39501</v>
      </c>
      <c r="H2" s="9" t="str">
        <f aca="false">IF(COUNTIF(Conferência!$A$4:$A$336,F2)=0,"",IF(COUNTIFS(Conferência!$A$4:$A$336,F2,Conferência!$D$4:$D$336,G2)&gt;0,"Confere","Falta no Word"))</f>
        <v>Confere</v>
      </c>
      <c r="I2" s="3"/>
    </row>
    <row r="3" customFormat="false" ht="15" hidden="false" customHeight="false" outlineLevel="0" collapsed="false">
      <c r="A3" s="3" t="s">
        <v>712</v>
      </c>
      <c r="B3" s="3" t="s">
        <v>713</v>
      </c>
      <c r="C3" s="3" t="s">
        <v>714</v>
      </c>
      <c r="D3" s="3" t="s">
        <v>649</v>
      </c>
      <c r="E3" s="3" t="s">
        <v>715</v>
      </c>
      <c r="F3" s="3" t="s">
        <v>20</v>
      </c>
      <c r="G3" s="3" t="str">
        <f aca="false">IF(LEFT(D3,3)="09S",LEFT(D3,14),D3)</f>
        <v>NXH0HAL001832D5F129501</v>
      </c>
      <c r="H3" s="9" t="str">
        <f aca="false">IF(COUNTIF(Conferência!$A$4:$A$336,F3)=0,"",IF(COUNTIFS(Conferência!$A$4:$A$336,F3,Conferência!$D$4:$D$336,G3)&gt;0,"Confere","Falta no Word"))</f>
        <v>Confere</v>
      </c>
      <c r="I3" s="3"/>
    </row>
    <row r="4" customFormat="false" ht="15" hidden="false" customHeight="false" outlineLevel="0" collapsed="false">
      <c r="A4" s="3" t="s">
        <v>712</v>
      </c>
      <c r="B4" s="3" t="s">
        <v>713</v>
      </c>
      <c r="C4" s="3" t="s">
        <v>714</v>
      </c>
      <c r="D4" s="3" t="s">
        <v>71</v>
      </c>
      <c r="E4" s="3" t="s">
        <v>715</v>
      </c>
      <c r="F4" s="3" t="s">
        <v>20</v>
      </c>
      <c r="G4" s="3" t="str">
        <f aca="false">IF(LEFT(D4,3)="09S",LEFT(D4,14),D4)</f>
        <v>NXH0HAL001830D18D69501</v>
      </c>
      <c r="H4" s="9" t="str">
        <f aca="false">IF(COUNTIF(Conferência!$A$4:$A$336,F4)=0,"",IF(COUNTIFS(Conferência!$A$4:$A$336,F4,Conferência!$D$4:$D$336,G4)&gt;0,"Confere","Falta no Word"))</f>
        <v>Falta no Word</v>
      </c>
      <c r="I4" s="3" t="s">
        <v>716</v>
      </c>
    </row>
    <row r="5" customFormat="false" ht="15" hidden="false" customHeight="false" outlineLevel="0" collapsed="false">
      <c r="A5" s="3" t="s">
        <v>712</v>
      </c>
      <c r="B5" s="3" t="s">
        <v>713</v>
      </c>
      <c r="C5" s="3" t="s">
        <v>714</v>
      </c>
      <c r="D5" s="3" t="s">
        <v>642</v>
      </c>
      <c r="E5" s="3" t="s">
        <v>715</v>
      </c>
      <c r="F5" s="3" t="s">
        <v>20</v>
      </c>
      <c r="G5" s="3" t="str">
        <f aca="false">IF(LEFT(D5,3)="09S",LEFT(D5,14),D5)</f>
        <v>NXH0HAL001830D1F789501</v>
      </c>
      <c r="H5" s="9" t="str">
        <f aca="false">IF(COUNTIF(Conferência!$A$4:$A$336,F5)=0,"",IF(COUNTIFS(Conferência!$A$4:$A$336,F5,Conferência!$D$4:$D$336,G5)&gt;0,"Confere","Falta no Word"))</f>
        <v>Confere</v>
      </c>
      <c r="I5" s="3"/>
    </row>
    <row r="6" customFormat="false" ht="15" hidden="false" customHeight="false" outlineLevel="0" collapsed="false">
      <c r="A6" s="3" t="s">
        <v>712</v>
      </c>
      <c r="B6" s="3" t="s">
        <v>713</v>
      </c>
      <c r="C6" s="3" t="s">
        <v>714</v>
      </c>
      <c r="D6" s="3" t="s">
        <v>645</v>
      </c>
      <c r="E6" s="3" t="s">
        <v>715</v>
      </c>
      <c r="F6" s="3" t="s">
        <v>20</v>
      </c>
      <c r="G6" s="3" t="str">
        <f aca="false">IF(LEFT(D6,3)="09S",LEFT(D6,14),D6)</f>
        <v>NXH0HAL001838E6B539501</v>
      </c>
      <c r="H6" s="9" t="str">
        <f aca="false">IF(COUNTIF(Conferência!$A$4:$A$336,F6)=0,"",IF(COUNTIFS(Conferência!$A$4:$A$336,F6,Conferência!$D$4:$D$336,G6)&gt;0,"Confere","Falta no Word"))</f>
        <v>Confere</v>
      </c>
      <c r="I6" s="3"/>
    </row>
    <row r="7" customFormat="false" ht="15" hidden="false" customHeight="false" outlineLevel="0" collapsed="false">
      <c r="A7" s="3" t="s">
        <v>712</v>
      </c>
      <c r="B7" s="3" t="s">
        <v>713</v>
      </c>
      <c r="C7" s="3" t="s">
        <v>714</v>
      </c>
      <c r="D7" s="3" t="s">
        <v>647</v>
      </c>
      <c r="E7" s="3" t="s">
        <v>715</v>
      </c>
      <c r="F7" s="3" t="s">
        <v>20</v>
      </c>
      <c r="G7" s="3" t="str">
        <f aca="false">IF(LEFT(D7,3)="09S",LEFT(D7,14),D7)</f>
        <v>NXH0HAL001838E735B9501</v>
      </c>
      <c r="H7" s="9" t="str">
        <f aca="false">IF(COUNTIF(Conferência!$A$4:$A$336,F7)=0,"",IF(COUNTIFS(Conferência!$A$4:$A$336,F7,Conferência!$D$4:$D$336,G7)&gt;0,"Confere","Falta no Word"))</f>
        <v>Confere</v>
      </c>
      <c r="I7" s="3"/>
    </row>
    <row r="8" customFormat="false" ht="15" hidden="false" customHeight="false" outlineLevel="0" collapsed="false">
      <c r="A8" s="3" t="s">
        <v>712</v>
      </c>
      <c r="B8" s="3" t="s">
        <v>713</v>
      </c>
      <c r="C8" s="3" t="s">
        <v>714</v>
      </c>
      <c r="D8" s="3" t="s">
        <v>653</v>
      </c>
      <c r="E8" s="3" t="s">
        <v>715</v>
      </c>
      <c r="F8" s="3" t="s">
        <v>20</v>
      </c>
      <c r="G8" s="3" t="str">
        <f aca="false">IF(LEFT(D8,3)="09S",LEFT(D8,14),D8)</f>
        <v>NXH0HAL001837E5E619501</v>
      </c>
      <c r="H8" s="9" t="str">
        <f aca="false">IF(COUNTIF(Conferência!$A$4:$A$336,F8)=0,"",IF(COUNTIFS(Conferência!$A$4:$A$336,F8,Conferência!$D$4:$D$336,G8)&gt;0,"Confere","Falta no Word"))</f>
        <v>Confere</v>
      </c>
      <c r="I8" s="3"/>
    </row>
    <row r="9" customFormat="false" ht="15" hidden="false" customHeight="false" outlineLevel="0" collapsed="false">
      <c r="A9" s="3" t="s">
        <v>712</v>
      </c>
      <c r="B9" s="3" t="s">
        <v>713</v>
      </c>
      <c r="C9" s="3" t="s">
        <v>714</v>
      </c>
      <c r="D9" s="3" t="s">
        <v>651</v>
      </c>
      <c r="E9" s="3" t="s">
        <v>715</v>
      </c>
      <c r="F9" s="3" t="s">
        <v>20</v>
      </c>
      <c r="G9" s="3" t="str">
        <f aca="false">IF(LEFT(D9,3)="09S",LEFT(D9,14),D9)</f>
        <v>NXH0HAL001839ECCC29501</v>
      </c>
      <c r="H9" s="9" t="str">
        <f aca="false">IF(COUNTIF(Conferência!$A$4:$A$336,F9)=0,"",IF(COUNTIFS(Conferência!$A$4:$A$336,F9,Conferência!$D$4:$D$336,G9)&gt;0,"Confere","Falta no Word"))</f>
        <v>Confere</v>
      </c>
      <c r="I9" s="3"/>
    </row>
    <row r="10" customFormat="false" ht="15" hidden="false" customHeight="false" outlineLevel="0" collapsed="false">
      <c r="A10" s="3" t="s">
        <v>712</v>
      </c>
      <c r="B10" s="3" t="s">
        <v>713</v>
      </c>
      <c r="C10" s="3" t="s">
        <v>717</v>
      </c>
      <c r="D10" s="3" t="s">
        <v>204</v>
      </c>
      <c r="E10" s="3" t="s">
        <v>715</v>
      </c>
      <c r="F10" s="3" t="s">
        <v>20</v>
      </c>
      <c r="G10" s="3" t="str">
        <f aca="false">IF(LEFT(D10,3)="09S",LEFT(D10,14),D10)</f>
        <v>09S29QBNC00260</v>
      </c>
      <c r="H10" s="9" t="str">
        <f aca="false">IF(COUNTIF(Conferência!$A$4:$A$336,F10)=0,"",IF(COUNTIFS(Conferência!$A$4:$A$336,F10,Conferência!$D$4:$D$336,G10)&gt;0,"Confere","Falta no Word"))</f>
        <v>Falta no Word</v>
      </c>
      <c r="I10" s="3" t="s">
        <v>718</v>
      </c>
    </row>
    <row r="11" customFormat="false" ht="15" hidden="false" customHeight="false" outlineLevel="0" collapsed="false">
      <c r="A11" s="3" t="s">
        <v>712</v>
      </c>
      <c r="B11" s="3" t="s">
        <v>713</v>
      </c>
      <c r="C11" s="3" t="s">
        <v>717</v>
      </c>
      <c r="D11" s="3" t="s">
        <v>201</v>
      </c>
      <c r="E11" s="3" t="s">
        <v>715</v>
      </c>
      <c r="F11" s="3" t="s">
        <v>20</v>
      </c>
      <c r="G11" s="3" t="str">
        <f aca="false">IF(LEFT(D11,3)="09S",LEFT(D11,14),D11)</f>
        <v>09S29QAR110887</v>
      </c>
      <c r="H11" s="9" t="str">
        <f aca="false">IF(COUNTIF(Conferência!$A$4:$A$336,F11)=0,"",IF(COUNTIFS(Conferência!$A$4:$A$336,F11,Conferência!$D$4:$D$336,G11)&gt;0,"Confere","Falta no Word"))</f>
        <v>Falta no Word</v>
      </c>
      <c r="I11" s="3" t="s">
        <v>719</v>
      </c>
    </row>
    <row r="12" customFormat="false" ht="15" hidden="false" customHeight="false" outlineLevel="0" collapsed="false">
      <c r="A12" s="3" t="s">
        <v>712</v>
      </c>
      <c r="B12" s="3" t="s">
        <v>713</v>
      </c>
      <c r="C12" s="3" t="s">
        <v>720</v>
      </c>
      <c r="D12" s="3" t="s">
        <v>721</v>
      </c>
      <c r="E12" s="3" t="s">
        <v>715</v>
      </c>
      <c r="F12" s="3" t="s">
        <v>20</v>
      </c>
      <c r="G12" s="3" t="str">
        <f aca="false">IF(LEFT(D12,3)="09S",LEFT(D12,14),D12)</f>
        <v>09S29QBR719250</v>
      </c>
      <c r="H12" s="9" t="str">
        <f aca="false">IF(COUNTIF(Conferência!$A$4:$A$336,F12)=0,"",IF(COUNTIFS(Conferência!$A$4:$A$336,F12,Conferência!$D$4:$D$336,G12)&gt;0,"Confere","Falta no Word"))</f>
        <v>Confere</v>
      </c>
      <c r="I12" s="3"/>
    </row>
    <row r="13" customFormat="false" ht="15" hidden="false" customHeight="false" outlineLevel="0" collapsed="false">
      <c r="A13" s="3" t="s">
        <v>712</v>
      </c>
      <c r="B13" s="3" t="s">
        <v>713</v>
      </c>
      <c r="C13" s="3" t="s">
        <v>720</v>
      </c>
      <c r="D13" s="3" t="s">
        <v>722</v>
      </c>
      <c r="E13" s="3" t="s">
        <v>715</v>
      </c>
      <c r="F13" s="3" t="s">
        <v>20</v>
      </c>
      <c r="G13" s="3" t="str">
        <f aca="false">IF(LEFT(D13,3)="09S",LEFT(D13,14),D13)</f>
        <v>09S29QBR704277</v>
      </c>
      <c r="H13" s="9" t="str">
        <f aca="false">IF(COUNTIF(Conferência!$A$4:$A$336,F13)=0,"",IF(COUNTIFS(Conferência!$A$4:$A$336,F13,Conferência!$D$4:$D$336,G13)&gt;0,"Confere","Falta no Word"))</f>
        <v>Confere</v>
      </c>
      <c r="I13" s="3"/>
    </row>
    <row r="14" customFormat="false" ht="15" hidden="false" customHeight="false" outlineLevel="0" collapsed="false">
      <c r="A14" s="3" t="s">
        <v>712</v>
      </c>
      <c r="B14" s="3" t="s">
        <v>713</v>
      </c>
      <c r="C14" s="3" t="s">
        <v>720</v>
      </c>
      <c r="D14" s="3" t="s">
        <v>723</v>
      </c>
      <c r="E14" s="3" t="s">
        <v>715</v>
      </c>
      <c r="F14" s="3" t="s">
        <v>20</v>
      </c>
      <c r="G14" s="3" t="str">
        <f aca="false">IF(LEFT(D14,3)="09S",LEFT(D14,14),D14)</f>
        <v>09S29QBR702126</v>
      </c>
      <c r="H14" s="9" t="str">
        <f aca="false">IF(COUNTIF(Conferência!$A$4:$A$336,F14)=0,"",IF(COUNTIFS(Conferência!$A$4:$A$336,F14,Conferência!$D$4:$D$336,G14)&gt;0,"Confere","Falta no Word"))</f>
        <v>Confere</v>
      </c>
      <c r="I14" s="3"/>
    </row>
    <row r="15" customFormat="false" ht="15" hidden="false" customHeight="false" outlineLevel="0" collapsed="false">
      <c r="A15" s="3" t="s">
        <v>712</v>
      </c>
      <c r="B15" s="3" t="s">
        <v>713</v>
      </c>
      <c r="C15" s="3" t="s">
        <v>714</v>
      </c>
      <c r="D15" s="3" t="s">
        <v>432</v>
      </c>
      <c r="E15" s="3" t="s">
        <v>715</v>
      </c>
      <c r="F15" s="3" t="s">
        <v>12</v>
      </c>
      <c r="G15" s="3" t="str">
        <f aca="false">IF(LEFT(D15,3)="09S",LEFT(D15,14),D15)</f>
        <v>NXH0HAL001838E73789501</v>
      </c>
      <c r="H15" s="9" t="str">
        <f aca="false">IF(COUNTIF(Conferência!$A$4:$A$336,F15)=0,"",IF(COUNTIFS(Conferência!$A$4:$A$336,F15,Conferência!$D$4:$D$336,G15)&gt;0,"Confere","Falta no Word"))</f>
        <v>Confere</v>
      </c>
      <c r="I15" s="3"/>
    </row>
    <row r="16" customFormat="false" ht="15" hidden="false" customHeight="false" outlineLevel="0" collapsed="false">
      <c r="A16" s="3" t="s">
        <v>712</v>
      </c>
      <c r="B16" s="3" t="s">
        <v>713</v>
      </c>
      <c r="C16" s="3" t="s">
        <v>714</v>
      </c>
      <c r="D16" s="3" t="s">
        <v>99</v>
      </c>
      <c r="E16" s="3" t="s">
        <v>715</v>
      </c>
      <c r="F16" s="3" t="s">
        <v>12</v>
      </c>
      <c r="G16" s="3" t="str">
        <f aca="false">IF(LEFT(D16,3)="09S",LEFT(D16,14),D16)</f>
        <v>NXH0HAL001838E69389501</v>
      </c>
      <c r="H16" s="9" t="str">
        <f aca="false">IF(COUNTIF(Conferência!$A$4:$A$336,F16)=0,"",IF(COUNTIFS(Conferência!$A$4:$A$336,F16,Conferência!$D$4:$D$336,G16)&gt;0,"Confere","Falta no Word"))</f>
        <v>Falta no Word</v>
      </c>
      <c r="I16" s="3" t="s">
        <v>724</v>
      </c>
    </row>
    <row r="17" customFormat="false" ht="15" hidden="false" customHeight="false" outlineLevel="0" collapsed="false">
      <c r="A17" s="3" t="s">
        <v>712</v>
      </c>
      <c r="B17" s="3" t="s">
        <v>713</v>
      </c>
      <c r="C17" s="3" t="s">
        <v>714</v>
      </c>
      <c r="D17" s="3" t="s">
        <v>424</v>
      </c>
      <c r="E17" s="3" t="s">
        <v>715</v>
      </c>
      <c r="F17" s="3" t="s">
        <v>12</v>
      </c>
      <c r="G17" s="3" t="str">
        <f aca="false">IF(LEFT(D17,3)="09S",LEFT(D17,14),D17)</f>
        <v>NXH0HAL001832D5EED9501</v>
      </c>
      <c r="H17" s="9" t="str">
        <f aca="false">IF(COUNTIF(Conferência!$A$4:$A$336,F17)=0,"",IF(COUNTIFS(Conferência!$A$4:$A$336,F17,Conferência!$D$4:$D$336,G17)&gt;0,"Confere","Falta no Word"))</f>
        <v>Confere</v>
      </c>
      <c r="I17" s="3"/>
    </row>
    <row r="18" customFormat="false" ht="15" hidden="false" customHeight="false" outlineLevel="0" collapsed="false">
      <c r="A18" s="3" t="s">
        <v>712</v>
      </c>
      <c r="B18" s="3" t="s">
        <v>713</v>
      </c>
      <c r="C18" s="3" t="s">
        <v>714</v>
      </c>
      <c r="D18" s="3" t="s">
        <v>441</v>
      </c>
      <c r="E18" s="3" t="s">
        <v>715</v>
      </c>
      <c r="F18" s="3" t="s">
        <v>12</v>
      </c>
      <c r="G18" s="3" t="str">
        <f aca="false">IF(LEFT(D18,3)="09S",LEFT(D18,14),D18)</f>
        <v>NXH0HAL001832D5F4A9501</v>
      </c>
      <c r="H18" s="9" t="str">
        <f aca="false">IF(COUNTIF(Conferência!$A$4:$A$336,F18)=0,"",IF(COUNTIFS(Conferência!$A$4:$A$336,F18,Conferência!$D$4:$D$336,G18)&gt;0,"Confere","Falta no Word"))</f>
        <v>Confere</v>
      </c>
      <c r="I18" s="3"/>
    </row>
    <row r="19" customFormat="false" ht="15" hidden="false" customHeight="false" outlineLevel="0" collapsed="false">
      <c r="A19" s="3" t="s">
        <v>712</v>
      </c>
      <c r="B19" s="3" t="s">
        <v>713</v>
      </c>
      <c r="C19" s="3" t="s">
        <v>714</v>
      </c>
      <c r="D19" s="3" t="s">
        <v>419</v>
      </c>
      <c r="E19" s="3" t="s">
        <v>715</v>
      </c>
      <c r="F19" s="3" t="s">
        <v>12</v>
      </c>
      <c r="G19" s="3" t="str">
        <f aca="false">IF(LEFT(D19,3)="09S",LEFT(D19,14),D19)</f>
        <v>NXH0HAL001838E76809501</v>
      </c>
      <c r="H19" s="9" t="str">
        <f aca="false">IF(COUNTIF(Conferência!$A$4:$A$336,F19)=0,"",IF(COUNTIFS(Conferência!$A$4:$A$336,F19,Conferência!$D$4:$D$336,G19)&gt;0,"Confere","Falta no Word"))</f>
        <v>Confere</v>
      </c>
      <c r="I19" s="3"/>
    </row>
    <row r="20" customFormat="false" ht="15" hidden="false" customHeight="false" outlineLevel="0" collapsed="false">
      <c r="A20" s="3" t="s">
        <v>712</v>
      </c>
      <c r="B20" s="3" t="s">
        <v>713</v>
      </c>
      <c r="C20" s="3" t="s">
        <v>714</v>
      </c>
      <c r="D20" s="3" t="s">
        <v>422</v>
      </c>
      <c r="E20" s="3" t="s">
        <v>715</v>
      </c>
      <c r="F20" s="3" t="s">
        <v>12</v>
      </c>
      <c r="G20" s="3" t="str">
        <f aca="false">IF(LEFT(D20,3)="09S",LEFT(D20,14),D20)</f>
        <v>NXH0HAL001832D671C9501</v>
      </c>
      <c r="H20" s="9" t="str">
        <f aca="false">IF(COUNTIF(Conferência!$A$4:$A$336,F20)=0,"",IF(COUNTIFS(Conferência!$A$4:$A$336,F20,Conferência!$D$4:$D$336,G20)&gt;0,"Confere","Falta no Word"))</f>
        <v>Confere</v>
      </c>
      <c r="I20" s="3"/>
    </row>
    <row r="21" customFormat="false" ht="15" hidden="false" customHeight="false" outlineLevel="0" collapsed="false">
      <c r="A21" s="3" t="s">
        <v>712</v>
      </c>
      <c r="B21" s="3" t="s">
        <v>713</v>
      </c>
      <c r="C21" s="3" t="s">
        <v>714</v>
      </c>
      <c r="D21" s="3" t="s">
        <v>107</v>
      </c>
      <c r="E21" s="3" t="s">
        <v>715</v>
      </c>
      <c r="F21" s="3" t="s">
        <v>12</v>
      </c>
      <c r="G21" s="3" t="str">
        <f aca="false">IF(LEFT(D21,3)="09S",LEFT(D21,14),D21)</f>
        <v>NXH0HAL001838E748D9501</v>
      </c>
      <c r="H21" s="9" t="str">
        <f aca="false">IF(COUNTIF(Conferência!$A$4:$A$336,F21)=0,"",IF(COUNTIFS(Conferência!$A$4:$A$336,F21,Conferência!$D$4:$D$336,G21)&gt;0,"Confere","Falta no Word"))</f>
        <v>Falta no Word</v>
      </c>
      <c r="I21" s="3" t="s">
        <v>725</v>
      </c>
    </row>
    <row r="22" customFormat="false" ht="15" hidden="false" customHeight="false" outlineLevel="0" collapsed="false">
      <c r="A22" s="3" t="s">
        <v>712</v>
      </c>
      <c r="B22" s="3" t="s">
        <v>713</v>
      </c>
      <c r="C22" s="3" t="s">
        <v>714</v>
      </c>
      <c r="D22" s="3" t="s">
        <v>417</v>
      </c>
      <c r="E22" s="3" t="s">
        <v>715</v>
      </c>
      <c r="F22" s="3" t="s">
        <v>12</v>
      </c>
      <c r="G22" s="3" t="str">
        <f aca="false">IF(LEFT(D22,3)="09S",LEFT(D22,14),D22)</f>
        <v>NXH0HAL001838E762A9501</v>
      </c>
      <c r="H22" s="9" t="str">
        <f aca="false">IF(COUNTIF(Conferência!$A$4:$A$336,F22)=0,"",IF(COUNTIFS(Conferência!$A$4:$A$336,F22,Conferência!$D$4:$D$336,G22)&gt;0,"Confere","Falta no Word"))</f>
        <v>Confere</v>
      </c>
      <c r="I22" s="3"/>
    </row>
    <row r="23" customFormat="false" ht="15" hidden="false" customHeight="false" outlineLevel="0" collapsed="false">
      <c r="A23" s="3" t="s">
        <v>712</v>
      </c>
      <c r="B23" s="3" t="s">
        <v>713</v>
      </c>
      <c r="C23" s="3" t="s">
        <v>714</v>
      </c>
      <c r="D23" s="3" t="s">
        <v>91</v>
      </c>
      <c r="E23" s="3" t="s">
        <v>715</v>
      </c>
      <c r="F23" s="3" t="s">
        <v>12</v>
      </c>
      <c r="G23" s="3" t="str">
        <f aca="false">IF(LEFT(D23,3)="09S",LEFT(D23,14),D23)</f>
        <v>NXH0HAL001832D5C459501</v>
      </c>
      <c r="H23" s="9" t="str">
        <f aca="false">IF(COUNTIF(Conferência!$A$4:$A$336,F23)=0,"",IF(COUNTIFS(Conferência!$A$4:$A$336,F23,Conferência!$D$4:$D$336,G23)&gt;0,"Confere","Falta no Word"))</f>
        <v>Falta no Word</v>
      </c>
      <c r="I23" s="3" t="s">
        <v>726</v>
      </c>
    </row>
    <row r="24" customFormat="false" ht="15" hidden="false" customHeight="false" outlineLevel="0" collapsed="false">
      <c r="A24" s="3" t="s">
        <v>712</v>
      </c>
      <c r="B24" s="3" t="s">
        <v>713</v>
      </c>
      <c r="C24" s="3" t="s">
        <v>714</v>
      </c>
      <c r="D24" s="3" t="s">
        <v>435</v>
      </c>
      <c r="E24" s="3" t="s">
        <v>715</v>
      </c>
      <c r="F24" s="3" t="s">
        <v>12</v>
      </c>
      <c r="G24" s="3" t="str">
        <f aca="false">IF(LEFT(D24,3)="09S",LEFT(D24,14),D24)</f>
        <v>NXH0HAL001832D68C79501</v>
      </c>
      <c r="H24" s="9" t="str">
        <f aca="false">IF(COUNTIF(Conferência!$A$4:$A$336,F24)=0,"",IF(COUNTIFS(Conferência!$A$4:$A$336,F24,Conferência!$D$4:$D$336,G24)&gt;0,"Confere","Falta no Word"))</f>
        <v>Confere</v>
      </c>
      <c r="I24" s="3"/>
    </row>
    <row r="25" customFormat="false" ht="15" hidden="false" customHeight="false" outlineLevel="0" collapsed="false">
      <c r="A25" s="3" t="s">
        <v>712</v>
      </c>
      <c r="B25" s="3" t="s">
        <v>713</v>
      </c>
      <c r="C25" s="3" t="s">
        <v>714</v>
      </c>
      <c r="D25" s="3" t="s">
        <v>87</v>
      </c>
      <c r="E25" s="3" t="s">
        <v>715</v>
      </c>
      <c r="F25" s="3" t="s">
        <v>12</v>
      </c>
      <c r="G25" s="3" t="str">
        <f aca="false">IF(LEFT(D25,3)="09S",LEFT(D25,14),D25)</f>
        <v>NXH0HAL001838E691A9501</v>
      </c>
      <c r="H25" s="9" t="str">
        <f aca="false">IF(COUNTIF(Conferência!$A$4:$A$336,F25)=0,"",IF(COUNTIFS(Conferência!$A$4:$A$336,F25,Conferência!$D$4:$D$336,G25)&gt;0,"Confere","Falta no Word"))</f>
        <v>Falta no Word</v>
      </c>
      <c r="I25" s="3" t="s">
        <v>727</v>
      </c>
    </row>
    <row r="26" customFormat="false" ht="15" hidden="false" customHeight="false" outlineLevel="0" collapsed="false">
      <c r="A26" s="3" t="s">
        <v>712</v>
      </c>
      <c r="B26" s="3" t="s">
        <v>713</v>
      </c>
      <c r="C26" s="3" t="s">
        <v>714</v>
      </c>
      <c r="D26" s="3" t="s">
        <v>433</v>
      </c>
      <c r="E26" s="3" t="s">
        <v>715</v>
      </c>
      <c r="F26" s="3" t="s">
        <v>12</v>
      </c>
      <c r="G26" s="3" t="str">
        <f aca="false">IF(LEFT(D26,3)="09S",LEFT(D26,14),D26)</f>
        <v>NXH0HAL001838E6A8B9501</v>
      </c>
      <c r="H26" s="9" t="str">
        <f aca="false">IF(COUNTIF(Conferência!$A$4:$A$336,F26)=0,"",IF(COUNTIFS(Conferência!$A$4:$A$336,F26,Conferência!$D$4:$D$336,G26)&gt;0,"Confere","Falta no Word"))</f>
        <v>Confere</v>
      </c>
      <c r="I26" s="3"/>
    </row>
    <row r="27" customFormat="false" ht="15" hidden="false" customHeight="false" outlineLevel="0" collapsed="false">
      <c r="A27" s="3" t="s">
        <v>712</v>
      </c>
      <c r="B27" s="3" t="s">
        <v>713</v>
      </c>
      <c r="C27" s="3" t="s">
        <v>714</v>
      </c>
      <c r="D27" s="3" t="s">
        <v>436</v>
      </c>
      <c r="E27" s="3" t="s">
        <v>715</v>
      </c>
      <c r="F27" s="3" t="s">
        <v>12</v>
      </c>
      <c r="G27" s="3" t="str">
        <f aca="false">IF(LEFT(D27,3)="09S",LEFT(D27,14),D27)</f>
        <v>NXH0HAL001837E5F719501</v>
      </c>
      <c r="H27" s="9" t="str">
        <f aca="false">IF(COUNTIF(Conferência!$A$4:$A$336,F27)=0,"",IF(COUNTIFS(Conferência!$A$4:$A$336,F27,Conferência!$D$4:$D$336,G27)&gt;0,"Confere","Falta no Word"))</f>
        <v>Confere</v>
      </c>
      <c r="I27" s="3"/>
    </row>
    <row r="28" customFormat="false" ht="15" hidden="false" customHeight="false" outlineLevel="0" collapsed="false">
      <c r="A28" s="3" t="s">
        <v>712</v>
      </c>
      <c r="B28" s="3" t="s">
        <v>713</v>
      </c>
      <c r="C28" s="3" t="s">
        <v>714</v>
      </c>
      <c r="D28" s="3" t="s">
        <v>425</v>
      </c>
      <c r="E28" s="3" t="s">
        <v>715</v>
      </c>
      <c r="F28" s="3" t="s">
        <v>12</v>
      </c>
      <c r="G28" s="3" t="str">
        <f aca="false">IF(LEFT(D28,3)="09S",LEFT(D28,14),D28)</f>
        <v>NXH0HAL001838E74B29501</v>
      </c>
      <c r="H28" s="9" t="str">
        <f aca="false">IF(COUNTIF(Conferência!$A$4:$A$336,F28)=0,"",IF(COUNTIFS(Conferência!$A$4:$A$336,F28,Conferência!$D$4:$D$336,G28)&gt;0,"Confere","Falta no Word"))</f>
        <v>Confere</v>
      </c>
      <c r="I28" s="3"/>
    </row>
    <row r="29" customFormat="false" ht="15" hidden="false" customHeight="false" outlineLevel="0" collapsed="false">
      <c r="A29" s="3" t="s">
        <v>712</v>
      </c>
      <c r="B29" s="3" t="s">
        <v>713</v>
      </c>
      <c r="C29" s="3" t="s">
        <v>714</v>
      </c>
      <c r="D29" s="3" t="s">
        <v>420</v>
      </c>
      <c r="E29" s="3" t="s">
        <v>715</v>
      </c>
      <c r="F29" s="3" t="s">
        <v>12</v>
      </c>
      <c r="G29" s="3" t="str">
        <f aca="false">IF(LEFT(D29,3)="09S",LEFT(D29,14),D29)</f>
        <v>NXH0HAL001838E6ACA9501</v>
      </c>
      <c r="H29" s="9" t="str">
        <f aca="false">IF(COUNTIF(Conferência!$A$4:$A$336,F29)=0,"",IF(COUNTIFS(Conferência!$A$4:$A$336,F29,Conferência!$D$4:$D$336,G29)&gt;0,"Confere","Falta no Word"))</f>
        <v>Confere</v>
      </c>
      <c r="I29" s="3"/>
    </row>
    <row r="30" customFormat="false" ht="15" hidden="false" customHeight="false" outlineLevel="0" collapsed="false">
      <c r="A30" s="3" t="s">
        <v>712</v>
      </c>
      <c r="B30" s="3" t="s">
        <v>713</v>
      </c>
      <c r="C30" s="3" t="s">
        <v>714</v>
      </c>
      <c r="D30" s="3" t="s">
        <v>431</v>
      </c>
      <c r="E30" s="3" t="s">
        <v>715</v>
      </c>
      <c r="F30" s="3" t="s">
        <v>12</v>
      </c>
      <c r="G30" s="3" t="str">
        <f aca="false">IF(LEFT(D30,3)="09S",LEFT(D30,14),D30)</f>
        <v>NXH0HAL001839EDC9F9501</v>
      </c>
      <c r="H30" s="9" t="str">
        <f aca="false">IF(COUNTIF(Conferência!$A$4:$A$336,F30)=0,"",IF(COUNTIFS(Conferência!$A$4:$A$336,F30,Conferência!$D$4:$D$336,G30)&gt;0,"Confere","Falta no Word"))</f>
        <v>Confere</v>
      </c>
      <c r="I30" s="3"/>
    </row>
    <row r="31" customFormat="false" ht="15" hidden="false" customHeight="false" outlineLevel="0" collapsed="false">
      <c r="A31" s="3" t="s">
        <v>712</v>
      </c>
      <c r="B31" s="3" t="s">
        <v>713</v>
      </c>
      <c r="C31" s="3" t="s">
        <v>714</v>
      </c>
      <c r="D31" s="3" t="s">
        <v>430</v>
      </c>
      <c r="E31" s="3" t="s">
        <v>715</v>
      </c>
      <c r="F31" s="3" t="s">
        <v>12</v>
      </c>
      <c r="G31" s="3" t="str">
        <f aca="false">IF(LEFT(D31,3)="09S",LEFT(D31,14),D31)</f>
        <v>NXH0HAL001832D5F689501</v>
      </c>
      <c r="H31" s="9" t="str">
        <f aca="false">IF(COUNTIF(Conferência!$A$4:$A$336,F31)=0,"",IF(COUNTIFS(Conferência!$A$4:$A$336,F31,Conferência!$D$4:$D$336,G31)&gt;0,"Confere","Falta no Word"))</f>
        <v>Confere</v>
      </c>
      <c r="I31" s="3"/>
    </row>
    <row r="32" customFormat="false" ht="15" hidden="false" customHeight="false" outlineLevel="0" collapsed="false">
      <c r="A32" s="3" t="s">
        <v>712</v>
      </c>
      <c r="B32" s="3" t="s">
        <v>713</v>
      </c>
      <c r="C32" s="3" t="s">
        <v>714</v>
      </c>
      <c r="D32" s="3" t="s">
        <v>110</v>
      </c>
      <c r="E32" s="3" t="s">
        <v>715</v>
      </c>
      <c r="F32" s="3" t="s">
        <v>12</v>
      </c>
      <c r="G32" s="3" t="str">
        <f aca="false">IF(LEFT(D32,3)="09S",LEFT(D32,14),D32)</f>
        <v>NXH0HAL001838E69669501</v>
      </c>
      <c r="H32" s="9" t="str">
        <f aca="false">IF(COUNTIF(Conferência!$A$4:$A$336,F32)=0,"",IF(COUNTIFS(Conferência!$A$4:$A$336,F32,Conferência!$D$4:$D$336,G32)&gt;0,"Confere","Falta no Word"))</f>
        <v>Falta no Word</v>
      </c>
      <c r="I32" s="3" t="s">
        <v>728</v>
      </c>
    </row>
    <row r="33" customFormat="false" ht="15" hidden="false" customHeight="false" outlineLevel="0" collapsed="false">
      <c r="A33" s="3" t="s">
        <v>712</v>
      </c>
      <c r="B33" s="3" t="s">
        <v>713</v>
      </c>
      <c r="C33" s="3" t="s">
        <v>714</v>
      </c>
      <c r="D33" s="3" t="s">
        <v>444</v>
      </c>
      <c r="E33" s="3" t="s">
        <v>715</v>
      </c>
      <c r="F33" s="3" t="s">
        <v>12</v>
      </c>
      <c r="G33" s="3" t="str">
        <f aca="false">IF(LEFT(D33,3)="09S",LEFT(D33,14),D33)</f>
        <v>NXH0HAL001832D5B7C9501</v>
      </c>
      <c r="H33" s="9" t="str">
        <f aca="false">IF(COUNTIF(Conferência!$A$4:$A$336,F33)=0,"",IF(COUNTIFS(Conferência!$A$4:$A$336,F33,Conferência!$D$4:$D$336,G33)&gt;0,"Confere","Falta no Word"))</f>
        <v>Confere</v>
      </c>
      <c r="I33" s="3"/>
    </row>
    <row r="34" customFormat="false" ht="15" hidden="false" customHeight="false" outlineLevel="0" collapsed="false">
      <c r="A34" s="3" t="s">
        <v>712</v>
      </c>
      <c r="B34" s="3" t="s">
        <v>713</v>
      </c>
      <c r="C34" s="3" t="s">
        <v>714</v>
      </c>
      <c r="D34" s="3" t="s">
        <v>423</v>
      </c>
      <c r="E34" s="3" t="s">
        <v>715</v>
      </c>
      <c r="F34" s="3" t="s">
        <v>12</v>
      </c>
      <c r="G34" s="3" t="str">
        <f aca="false">IF(LEFT(D34,3)="09S",LEFT(D34,14),D34)</f>
        <v>NXH0HAL001832D6A819501</v>
      </c>
      <c r="H34" s="9" t="str">
        <f aca="false">IF(COUNTIF(Conferência!$A$4:$A$336,F34)=0,"",IF(COUNTIFS(Conferência!$A$4:$A$336,F34,Conferência!$D$4:$D$336,G34)&gt;0,"Confere","Falta no Word"))</f>
        <v>Confere</v>
      </c>
      <c r="I34" s="3"/>
    </row>
    <row r="35" customFormat="false" ht="15" hidden="false" customHeight="false" outlineLevel="0" collapsed="false">
      <c r="A35" s="3" t="s">
        <v>712</v>
      </c>
      <c r="B35" s="3" t="s">
        <v>713</v>
      </c>
      <c r="C35" s="3" t="s">
        <v>714</v>
      </c>
      <c r="D35" s="3" t="s">
        <v>95</v>
      </c>
      <c r="E35" s="3" t="s">
        <v>715</v>
      </c>
      <c r="F35" s="3" t="s">
        <v>12</v>
      </c>
      <c r="G35" s="3" t="str">
        <f aca="false">IF(LEFT(D35,3)="09S",LEFT(D35,14),D35)</f>
        <v>NXH0HAL001838E76A19501</v>
      </c>
      <c r="H35" s="9" t="str">
        <f aca="false">IF(COUNTIF(Conferência!$A$4:$A$336,F35)=0,"",IF(COUNTIFS(Conferência!$A$4:$A$336,F35,Conferência!$D$4:$D$336,G35)&gt;0,"Confere","Falta no Word"))</f>
        <v>Falta no Word</v>
      </c>
      <c r="I35" s="3" t="s">
        <v>729</v>
      </c>
    </row>
    <row r="36" customFormat="false" ht="15" hidden="false" customHeight="false" outlineLevel="0" collapsed="false">
      <c r="A36" s="3" t="s">
        <v>712</v>
      </c>
      <c r="B36" s="3" t="s">
        <v>713</v>
      </c>
      <c r="C36" s="3" t="s">
        <v>714</v>
      </c>
      <c r="D36" s="3" t="s">
        <v>427</v>
      </c>
      <c r="E36" s="3" t="s">
        <v>715</v>
      </c>
      <c r="F36" s="3" t="s">
        <v>12</v>
      </c>
      <c r="G36" s="3" t="str">
        <f aca="false">IF(LEFT(D36,3)="09S",LEFT(D36,14),D36)</f>
        <v>NXH0HAL001826C7E849501</v>
      </c>
      <c r="H36" s="9" t="str">
        <f aca="false">IF(COUNTIF(Conferência!$A$4:$A$336,F36)=0,"",IF(COUNTIFS(Conferência!$A$4:$A$336,F36,Conferência!$D$4:$D$336,G36)&gt;0,"Confere","Falta no Word"))</f>
        <v>Confere</v>
      </c>
      <c r="I36" s="3"/>
    </row>
    <row r="37" customFormat="false" ht="15" hidden="false" customHeight="false" outlineLevel="0" collapsed="false">
      <c r="A37" s="3" t="s">
        <v>712</v>
      </c>
      <c r="B37" s="3" t="s">
        <v>713</v>
      </c>
      <c r="C37" s="3" t="s">
        <v>714</v>
      </c>
      <c r="D37" s="3" t="s">
        <v>428</v>
      </c>
      <c r="E37" s="3" t="s">
        <v>715</v>
      </c>
      <c r="F37" s="3" t="s">
        <v>12</v>
      </c>
      <c r="G37" s="3" t="str">
        <f aca="false">IF(LEFT(D37,3)="09S",LEFT(D37,14),D37)</f>
        <v>NXH0HAL001839EDD639501</v>
      </c>
      <c r="H37" s="9" t="str">
        <f aca="false">IF(COUNTIF(Conferência!$A$4:$A$336,F37)=0,"",IF(COUNTIFS(Conferência!$A$4:$A$336,F37,Conferência!$D$4:$D$336,G37)&gt;0,"Confere","Falta no Word"))</f>
        <v>Confere</v>
      </c>
      <c r="I37" s="3"/>
    </row>
    <row r="38" customFormat="false" ht="15" hidden="false" customHeight="false" outlineLevel="0" collapsed="false">
      <c r="A38" s="3" t="s">
        <v>712</v>
      </c>
      <c r="B38" s="3" t="s">
        <v>713</v>
      </c>
      <c r="C38" s="3" t="s">
        <v>714</v>
      </c>
      <c r="D38" s="3" t="s">
        <v>618</v>
      </c>
      <c r="E38" s="3" t="s">
        <v>715</v>
      </c>
      <c r="F38" s="3" t="s">
        <v>19</v>
      </c>
      <c r="G38" s="3" t="str">
        <f aca="false">IF(LEFT(D38,3)="09S",LEFT(D38,14),D38)</f>
        <v>NXH0HAL001839ED39C9501</v>
      </c>
      <c r="H38" s="9" t="str">
        <f aca="false">IF(COUNTIF(Conferência!$A$4:$A$336,F38)=0,"",IF(COUNTIFS(Conferência!$A$4:$A$336,F38,Conferência!$D$4:$D$336,G38)&gt;0,"Confere","Falta no Word"))</f>
        <v>Confere</v>
      </c>
      <c r="I38" s="3"/>
    </row>
    <row r="39" customFormat="false" ht="15" hidden="false" customHeight="false" outlineLevel="0" collapsed="false">
      <c r="A39" s="3" t="s">
        <v>712</v>
      </c>
      <c r="B39" s="3" t="s">
        <v>713</v>
      </c>
      <c r="C39" s="3" t="s">
        <v>714</v>
      </c>
      <c r="D39" s="3" t="s">
        <v>628</v>
      </c>
      <c r="E39" s="3" t="s">
        <v>715</v>
      </c>
      <c r="F39" s="3" t="s">
        <v>19</v>
      </c>
      <c r="G39" s="3" t="str">
        <f aca="false">IF(LEFT(D39,3)="09S",LEFT(D39,14),D39)</f>
        <v>NXH0HAL001830D1F719501</v>
      </c>
      <c r="H39" s="9" t="str">
        <f aca="false">IF(COUNTIF(Conferência!$A$4:$A$336,F39)=0,"",IF(COUNTIFS(Conferência!$A$4:$A$336,F39,Conferência!$D$4:$D$336,G39)&gt;0,"Confere","Falta no Word"))</f>
        <v>Confere</v>
      </c>
      <c r="I39" s="3"/>
    </row>
    <row r="40" customFormat="false" ht="15" hidden="false" customHeight="false" outlineLevel="0" collapsed="false">
      <c r="A40" s="3" t="s">
        <v>712</v>
      </c>
      <c r="B40" s="3" t="s">
        <v>713</v>
      </c>
      <c r="C40" s="3" t="s">
        <v>714</v>
      </c>
      <c r="D40" s="3" t="s">
        <v>636</v>
      </c>
      <c r="E40" s="3" t="s">
        <v>715</v>
      </c>
      <c r="F40" s="3" t="s">
        <v>19</v>
      </c>
      <c r="G40" s="3" t="str">
        <f aca="false">IF(LEFT(D40,3)="09S",LEFT(D40,14),D40)</f>
        <v>NXH0HAL001838E7BE09501</v>
      </c>
      <c r="H40" s="9" t="str">
        <f aca="false">IF(COUNTIF(Conferência!$A$4:$A$336,F40)=0,"",IF(COUNTIFS(Conferência!$A$4:$A$336,F40,Conferência!$D$4:$D$336,G40)&gt;0,"Confere","Falta no Word"))</f>
        <v>Confere</v>
      </c>
      <c r="I40" s="3"/>
    </row>
    <row r="41" customFormat="false" ht="15" hidden="false" customHeight="false" outlineLevel="0" collapsed="false">
      <c r="A41" s="3" t="s">
        <v>712</v>
      </c>
      <c r="B41" s="3" t="s">
        <v>713</v>
      </c>
      <c r="C41" s="3" t="s">
        <v>714</v>
      </c>
      <c r="D41" s="3" t="s">
        <v>620</v>
      </c>
      <c r="E41" s="3" t="s">
        <v>715</v>
      </c>
      <c r="F41" s="3" t="s">
        <v>19</v>
      </c>
      <c r="G41" s="3" t="str">
        <f aca="false">IF(LEFT(D41,3)="09S",LEFT(D41,14),D41)</f>
        <v>NXH0HAL001830D18D19501</v>
      </c>
      <c r="H41" s="9" t="str">
        <f aca="false">IF(COUNTIF(Conferência!$A$4:$A$336,F41)=0,"",IF(COUNTIFS(Conferência!$A$4:$A$336,F41,Conferência!$D$4:$D$336,G41)&gt;0,"Confere","Falta no Word"))</f>
        <v>Confere</v>
      </c>
      <c r="I41" s="3"/>
    </row>
    <row r="42" customFormat="false" ht="15" hidden="false" customHeight="false" outlineLevel="0" collapsed="false">
      <c r="A42" s="3" t="s">
        <v>712</v>
      </c>
      <c r="B42" s="3" t="s">
        <v>713</v>
      </c>
      <c r="C42" s="3" t="s">
        <v>714</v>
      </c>
      <c r="D42" s="3" t="s">
        <v>178</v>
      </c>
      <c r="E42" s="3" t="s">
        <v>715</v>
      </c>
      <c r="F42" s="3" t="s">
        <v>19</v>
      </c>
      <c r="G42" s="3" t="str">
        <f aca="false">IF(LEFT(D42,3)="09S",LEFT(D42,14),D42)</f>
        <v>NXH0HAL001838E7BC19501</v>
      </c>
      <c r="H42" s="9" t="str">
        <f aca="false">IF(COUNTIF(Conferência!$A$4:$A$336,F42)=0,"",IF(COUNTIFS(Conferência!$A$4:$A$336,F42,Conferência!$D$4:$D$336,G42)&gt;0,"Confere","Falta no Word"))</f>
        <v>Falta no Word</v>
      </c>
      <c r="I42" s="3" t="s">
        <v>730</v>
      </c>
    </row>
    <row r="43" customFormat="false" ht="15" hidden="false" customHeight="false" outlineLevel="0" collapsed="false">
      <c r="A43" s="3" t="s">
        <v>712</v>
      </c>
      <c r="B43" s="3" t="s">
        <v>713</v>
      </c>
      <c r="C43" s="3" t="s">
        <v>714</v>
      </c>
      <c r="D43" s="3" t="s">
        <v>623</v>
      </c>
      <c r="E43" s="3" t="s">
        <v>715</v>
      </c>
      <c r="F43" s="3" t="s">
        <v>19</v>
      </c>
      <c r="G43" s="3" t="str">
        <f aca="false">IF(LEFT(D43,3)="09S",LEFT(D43,14),D43)</f>
        <v>NXH0HAL001830D20EB9501</v>
      </c>
      <c r="H43" s="9" t="str">
        <f aca="false">IF(COUNTIF(Conferência!$A$4:$A$336,F43)=0,"",IF(COUNTIFS(Conferência!$A$4:$A$336,F43,Conferência!$D$4:$D$336,G43)&gt;0,"Confere","Falta no Word"))</f>
        <v>Confere</v>
      </c>
      <c r="I43" s="3"/>
    </row>
    <row r="44" customFormat="false" ht="15" hidden="false" customHeight="false" outlineLevel="0" collapsed="false">
      <c r="A44" s="3" t="s">
        <v>712</v>
      </c>
      <c r="B44" s="3" t="s">
        <v>713</v>
      </c>
      <c r="C44" s="3" t="s">
        <v>714</v>
      </c>
      <c r="D44" s="3" t="s">
        <v>626</v>
      </c>
      <c r="E44" s="3" t="s">
        <v>715</v>
      </c>
      <c r="F44" s="3" t="s">
        <v>19</v>
      </c>
      <c r="G44" s="3" t="str">
        <f aca="false">IF(LEFT(D44,3)="09S",LEFT(D44,14),D44)</f>
        <v>NXH0HAL001830D18B89501</v>
      </c>
      <c r="H44" s="9" t="str">
        <f aca="false">IF(COUNTIF(Conferência!$A$4:$A$336,F44)=0,"",IF(COUNTIFS(Conferência!$A$4:$A$336,F44,Conferência!$D$4:$D$336,G44)&gt;0,"Confere","Falta no Word"))</f>
        <v>Confere</v>
      </c>
      <c r="I44" s="3"/>
    </row>
    <row r="45" customFormat="false" ht="15" hidden="false" customHeight="false" outlineLevel="0" collapsed="false">
      <c r="A45" s="3" t="s">
        <v>712</v>
      </c>
      <c r="B45" s="3" t="s">
        <v>713</v>
      </c>
      <c r="C45" s="3" t="s">
        <v>714</v>
      </c>
      <c r="D45" s="3" t="s">
        <v>633</v>
      </c>
      <c r="E45" s="3" t="s">
        <v>715</v>
      </c>
      <c r="F45" s="3" t="s">
        <v>19</v>
      </c>
      <c r="G45" s="3" t="str">
        <f aca="false">IF(LEFT(D45,3)="09S",LEFT(D45,14),D45)</f>
        <v>NXH0HAL001830D1AED9501</v>
      </c>
      <c r="H45" s="9" t="str">
        <f aca="false">IF(COUNTIF(Conferência!$A$4:$A$336,F45)=0,"",IF(COUNTIFS(Conferência!$A$4:$A$336,F45,Conferência!$D$4:$D$336,G45)&gt;0,"Confere","Falta no Word"))</f>
        <v>Confere</v>
      </c>
      <c r="I45" s="3"/>
    </row>
    <row r="46" customFormat="false" ht="15" hidden="false" customHeight="false" outlineLevel="0" collapsed="false">
      <c r="A46" s="3" t="s">
        <v>712</v>
      </c>
      <c r="B46" s="3" t="s">
        <v>713</v>
      </c>
      <c r="C46" s="3" t="s">
        <v>714</v>
      </c>
      <c r="D46" s="3" t="s">
        <v>619</v>
      </c>
      <c r="E46" s="3" t="s">
        <v>715</v>
      </c>
      <c r="F46" s="3" t="s">
        <v>19</v>
      </c>
      <c r="G46" s="3" t="str">
        <f aca="false">IF(LEFT(D46,3)="09S",LEFT(D46,14),D46)</f>
        <v>NXH0HAL0018481FCBE9501</v>
      </c>
      <c r="H46" s="9" t="str">
        <f aca="false">IF(COUNTIF(Conferência!$A$4:$A$336,F46)=0,"",IF(COUNTIFS(Conferência!$A$4:$A$336,F46,Conferência!$D$4:$D$336,G46)&gt;0,"Confere","Falta no Word"))</f>
        <v>Confere</v>
      </c>
      <c r="I46" s="3"/>
    </row>
    <row r="47" customFormat="false" ht="15" hidden="false" customHeight="false" outlineLevel="0" collapsed="false">
      <c r="A47" s="3" t="s">
        <v>712</v>
      </c>
      <c r="B47" s="3" t="s">
        <v>713</v>
      </c>
      <c r="C47" s="3" t="s">
        <v>714</v>
      </c>
      <c r="D47" s="3" t="s">
        <v>624</v>
      </c>
      <c r="E47" s="3" t="s">
        <v>715</v>
      </c>
      <c r="F47" s="3" t="s">
        <v>19</v>
      </c>
      <c r="G47" s="3" t="str">
        <f aca="false">IF(LEFT(D47,3)="09S",LEFT(D47,14),D47)</f>
        <v>NXH0HAL001830D19179501</v>
      </c>
      <c r="H47" s="9" t="str">
        <f aca="false">IF(COUNTIF(Conferência!$A$4:$A$336,F47)=0,"",IF(COUNTIFS(Conferência!$A$4:$A$336,F47,Conferência!$D$4:$D$336,G47)&gt;0,"Confere","Falta no Word"))</f>
        <v>Confere</v>
      </c>
      <c r="I47" s="3"/>
    </row>
    <row r="48" customFormat="false" ht="15" hidden="false" customHeight="false" outlineLevel="0" collapsed="false">
      <c r="A48" s="3" t="s">
        <v>712</v>
      </c>
      <c r="B48" s="3" t="s">
        <v>713</v>
      </c>
      <c r="C48" s="3" t="s">
        <v>714</v>
      </c>
      <c r="D48" s="3" t="s">
        <v>635</v>
      </c>
      <c r="E48" s="3" t="s">
        <v>715</v>
      </c>
      <c r="F48" s="3" t="s">
        <v>19</v>
      </c>
      <c r="G48" s="3" t="str">
        <f aca="false">IF(LEFT(D48,3)="09S",LEFT(D48,14),D48)</f>
        <v>NXH0HAL001830D192D9501</v>
      </c>
      <c r="H48" s="9" t="str">
        <f aca="false">IF(COUNTIF(Conferência!$A$4:$A$336,F48)=0,"",IF(COUNTIFS(Conferência!$A$4:$A$336,F48,Conferência!$D$4:$D$336,G48)&gt;0,"Confere","Falta no Word"))</f>
        <v>Confere</v>
      </c>
      <c r="I48" s="3"/>
    </row>
    <row r="49" customFormat="false" ht="15" hidden="false" customHeight="false" outlineLevel="0" collapsed="false">
      <c r="A49" s="3" t="s">
        <v>712</v>
      </c>
      <c r="B49" s="3" t="s">
        <v>713</v>
      </c>
      <c r="C49" s="3" t="s">
        <v>714</v>
      </c>
      <c r="D49" s="3" t="s">
        <v>622</v>
      </c>
      <c r="E49" s="3" t="s">
        <v>715</v>
      </c>
      <c r="F49" s="3" t="s">
        <v>19</v>
      </c>
      <c r="G49" s="3" t="str">
        <f aca="false">IF(LEFT(D49,3)="09S",LEFT(D49,14),D49)</f>
        <v>NXH0HAL001830D15139501</v>
      </c>
      <c r="H49" s="9" t="str">
        <f aca="false">IF(COUNTIF(Conferência!$A$4:$A$336,F49)=0,"",IF(COUNTIFS(Conferência!$A$4:$A$336,F49,Conferência!$D$4:$D$336,G49)&gt;0,"Confere","Falta no Word"))</f>
        <v>Confere</v>
      </c>
      <c r="I49" s="3"/>
    </row>
    <row r="50" customFormat="false" ht="15" hidden="false" customHeight="false" outlineLevel="0" collapsed="false">
      <c r="A50" s="3" t="s">
        <v>712</v>
      </c>
      <c r="B50" s="3" t="s">
        <v>713</v>
      </c>
      <c r="C50" s="3" t="s">
        <v>714</v>
      </c>
      <c r="D50" s="3" t="s">
        <v>617</v>
      </c>
      <c r="E50" s="3" t="s">
        <v>715</v>
      </c>
      <c r="F50" s="3" t="s">
        <v>19</v>
      </c>
      <c r="G50" s="3" t="str">
        <f aca="false">IF(LEFT(D50,3)="09S",LEFT(D50,14),D50)</f>
        <v>NXH0HAL001830D13A99501</v>
      </c>
      <c r="H50" s="9" t="str">
        <f aca="false">IF(COUNTIF(Conferência!$A$4:$A$336,F50)=0,"",IF(COUNTIFS(Conferência!$A$4:$A$336,F50,Conferência!$D$4:$D$336,G50)&gt;0,"Confere","Falta no Word"))</f>
        <v>Confere</v>
      </c>
      <c r="I50" s="3"/>
    </row>
    <row r="51" customFormat="false" ht="15" hidden="false" customHeight="false" outlineLevel="0" collapsed="false">
      <c r="A51" s="3" t="s">
        <v>712</v>
      </c>
      <c r="B51" s="3" t="s">
        <v>713</v>
      </c>
      <c r="C51" s="3" t="s">
        <v>714</v>
      </c>
      <c r="D51" s="3" t="s">
        <v>629</v>
      </c>
      <c r="E51" s="3" t="s">
        <v>715</v>
      </c>
      <c r="F51" s="3" t="s">
        <v>19</v>
      </c>
      <c r="G51" s="3" t="str">
        <f aca="false">IF(LEFT(D51,3)="09S",LEFT(D51,14),D51)</f>
        <v>NXH0HAL001832D65659501</v>
      </c>
      <c r="H51" s="9" t="str">
        <f aca="false">IF(COUNTIF(Conferência!$A$4:$A$336,F51)=0,"",IF(COUNTIFS(Conferência!$A$4:$A$336,F51,Conferência!$D$4:$D$336,G51)&gt;0,"Confere","Falta no Word"))</f>
        <v>Confere</v>
      </c>
      <c r="I51" s="3"/>
    </row>
    <row r="52" customFormat="false" ht="15" hidden="false" customHeight="false" outlineLevel="0" collapsed="false">
      <c r="A52" s="3" t="s">
        <v>712</v>
      </c>
      <c r="B52" s="3" t="s">
        <v>713</v>
      </c>
      <c r="C52" s="3" t="s">
        <v>714</v>
      </c>
      <c r="D52" s="3" t="s">
        <v>630</v>
      </c>
      <c r="E52" s="3" t="s">
        <v>715</v>
      </c>
      <c r="F52" s="3" t="s">
        <v>19</v>
      </c>
      <c r="G52" s="3" t="str">
        <f aca="false">IF(LEFT(D52,3)="09S",LEFT(D52,14),D52)</f>
        <v>NXH0HAL001838E683A9501</v>
      </c>
      <c r="H52" s="9" t="str">
        <f aca="false">IF(COUNTIF(Conferência!$A$4:$A$336,F52)=0,"",IF(COUNTIFS(Conferência!$A$4:$A$336,F52,Conferência!$D$4:$D$336,G52)&gt;0,"Confere","Falta no Word"))</f>
        <v>Confere</v>
      </c>
      <c r="I52" s="3"/>
    </row>
    <row r="53" customFormat="false" ht="15" hidden="false" customHeight="false" outlineLevel="0" collapsed="false">
      <c r="A53" s="3" t="s">
        <v>712</v>
      </c>
      <c r="B53" s="3" t="s">
        <v>713</v>
      </c>
      <c r="C53" s="3" t="s">
        <v>714</v>
      </c>
      <c r="D53" s="3" t="s">
        <v>631</v>
      </c>
      <c r="E53" s="3" t="s">
        <v>715</v>
      </c>
      <c r="F53" s="3" t="s">
        <v>19</v>
      </c>
      <c r="G53" s="3" t="str">
        <f aca="false">IF(LEFT(D53,3)="09S",LEFT(D53,14),D53)</f>
        <v>NXH0HAL001838E7B7E9501</v>
      </c>
      <c r="H53" s="9" t="str">
        <f aca="false">IF(COUNTIF(Conferência!$A$4:$A$336,F53)=0,"",IF(COUNTIFS(Conferência!$A$4:$A$336,F53,Conferência!$D$4:$D$336,G53)&gt;0,"Confere","Falta no Word"))</f>
        <v>Confere</v>
      </c>
      <c r="I53" s="3"/>
    </row>
    <row r="54" customFormat="false" ht="15" hidden="false" customHeight="false" outlineLevel="0" collapsed="false">
      <c r="A54" s="3" t="s">
        <v>712</v>
      </c>
      <c r="B54" s="3" t="s">
        <v>713</v>
      </c>
      <c r="C54" s="3" t="s">
        <v>714</v>
      </c>
      <c r="D54" s="3" t="s">
        <v>634</v>
      </c>
      <c r="E54" s="3" t="s">
        <v>715</v>
      </c>
      <c r="F54" s="3" t="s">
        <v>19</v>
      </c>
      <c r="G54" s="3" t="str">
        <f aca="false">IF(LEFT(D54,3)="09S",LEFT(D54,14),D54)</f>
        <v>NXH0HAL001830D18DF9501</v>
      </c>
      <c r="H54" s="9" t="str">
        <f aca="false">IF(COUNTIF(Conferência!$A$4:$A$336,F54)=0,"",IF(COUNTIFS(Conferência!$A$4:$A$336,F54,Conferência!$D$4:$D$336,G54)&gt;0,"Confere","Falta no Word"))</f>
        <v>Confere</v>
      </c>
      <c r="I54" s="3"/>
    </row>
    <row r="55" customFormat="false" ht="15" hidden="false" customHeight="false" outlineLevel="0" collapsed="false">
      <c r="A55" s="3" t="s">
        <v>712</v>
      </c>
      <c r="B55" s="3" t="s">
        <v>713</v>
      </c>
      <c r="C55" s="3" t="s">
        <v>714</v>
      </c>
      <c r="D55" s="3" t="s">
        <v>632</v>
      </c>
      <c r="E55" s="3" t="s">
        <v>715</v>
      </c>
      <c r="F55" s="3" t="s">
        <v>19</v>
      </c>
      <c r="G55" s="3" t="str">
        <f aca="false">IF(LEFT(D55,3)="09S",LEFT(D55,14),D55)</f>
        <v>NXH0HAL001830D195C9501</v>
      </c>
      <c r="H55" s="9" t="str">
        <f aca="false">IF(COUNTIF(Conferência!$A$4:$A$336,F55)=0,"",IF(COUNTIFS(Conferência!$A$4:$A$336,F55,Conferência!$D$4:$D$336,G55)&gt;0,"Confere","Falta no Word"))</f>
        <v>Confere</v>
      </c>
      <c r="I55" s="3"/>
    </row>
    <row r="56" customFormat="false" ht="15" hidden="false" customHeight="false" outlineLevel="0" collapsed="false">
      <c r="A56" s="3" t="s">
        <v>712</v>
      </c>
      <c r="B56" s="3" t="s">
        <v>713</v>
      </c>
      <c r="C56" s="3" t="s">
        <v>714</v>
      </c>
      <c r="D56" s="3" t="s">
        <v>621</v>
      </c>
      <c r="E56" s="3" t="s">
        <v>715</v>
      </c>
      <c r="F56" s="3" t="s">
        <v>19</v>
      </c>
      <c r="G56" s="3" t="str">
        <f aca="false">IF(LEFT(D56,3)="09S",LEFT(D56,14),D56)</f>
        <v>NXH0HAL001830D196D9501</v>
      </c>
      <c r="H56" s="9" t="str">
        <f aca="false">IF(COUNTIF(Conferência!$A$4:$A$336,F56)=0,"",IF(COUNTIFS(Conferência!$A$4:$A$336,F56,Conferência!$D$4:$D$336,G56)&gt;0,"Confere","Falta no Word"))</f>
        <v>Confere</v>
      </c>
      <c r="I56" s="3"/>
    </row>
    <row r="57" customFormat="false" ht="15" hidden="false" customHeight="false" outlineLevel="0" collapsed="false">
      <c r="A57" s="3" t="s">
        <v>712</v>
      </c>
      <c r="B57" s="3" t="s">
        <v>713</v>
      </c>
      <c r="C57" s="3" t="s">
        <v>714</v>
      </c>
      <c r="D57" s="3" t="s">
        <v>615</v>
      </c>
      <c r="E57" s="3" t="s">
        <v>715</v>
      </c>
      <c r="F57" s="3" t="s">
        <v>19</v>
      </c>
      <c r="G57" s="3" t="str">
        <f aca="false">IF(LEFT(D57,3)="09S",LEFT(D57,14),D57)</f>
        <v>NXH0HAL001832D5B899501</v>
      </c>
      <c r="H57" s="9" t="str">
        <f aca="false">IF(COUNTIF(Conferência!$A$4:$A$336,F57)=0,"",IF(COUNTIFS(Conferência!$A$4:$A$336,F57,Conferência!$D$4:$D$336,G57)&gt;0,"Confere","Falta no Word"))</f>
        <v>Confere</v>
      </c>
      <c r="I57" s="3"/>
    </row>
    <row r="58" customFormat="false" ht="15" hidden="false" customHeight="false" outlineLevel="0" collapsed="false">
      <c r="A58" s="3" t="s">
        <v>712</v>
      </c>
      <c r="B58" s="3" t="s">
        <v>713</v>
      </c>
      <c r="C58" s="3" t="s">
        <v>714</v>
      </c>
      <c r="D58" s="3" t="s">
        <v>637</v>
      </c>
      <c r="E58" s="3" t="s">
        <v>715</v>
      </c>
      <c r="F58" s="3" t="s">
        <v>19</v>
      </c>
      <c r="G58" s="3" t="str">
        <f aca="false">IF(LEFT(D58,3)="09S",LEFT(D58,14),D58)</f>
        <v>NXH0HAL001838E6A489501</v>
      </c>
      <c r="H58" s="9" t="str">
        <f aca="false">IF(COUNTIF(Conferência!$A$4:$A$336,F58)=0,"",IF(COUNTIFS(Conferência!$A$4:$A$336,F58,Conferência!$D$4:$D$336,G58)&gt;0,"Confere","Falta no Word"))</f>
        <v>Confere</v>
      </c>
      <c r="I58" s="3"/>
    </row>
    <row r="59" customFormat="false" ht="15" hidden="false" customHeight="false" outlineLevel="0" collapsed="false">
      <c r="A59" s="3" t="s">
        <v>712</v>
      </c>
      <c r="B59" s="3" t="s">
        <v>713</v>
      </c>
      <c r="C59" s="3" t="s">
        <v>714</v>
      </c>
      <c r="D59" s="3" t="s">
        <v>175</v>
      </c>
      <c r="E59" s="3" t="s">
        <v>715</v>
      </c>
      <c r="F59" s="3" t="s">
        <v>19</v>
      </c>
      <c r="G59" s="3" t="str">
        <f aca="false">IF(LEFT(D59,3)="09S",LEFT(D59,14),D59)</f>
        <v>NXH0HAL001839EDC819501</v>
      </c>
      <c r="H59" s="9" t="str">
        <f aca="false">IF(COUNTIF(Conferência!$A$4:$A$336,F59)=0,"",IF(COUNTIFS(Conferência!$A$4:$A$336,F59,Conferência!$D$4:$D$336,G59)&gt;0,"Confere","Falta no Word"))</f>
        <v>Falta no Word</v>
      </c>
      <c r="I59" s="3" t="s">
        <v>731</v>
      </c>
    </row>
    <row r="60" customFormat="false" ht="15" hidden="false" customHeight="false" outlineLevel="0" collapsed="false">
      <c r="A60" s="3" t="s">
        <v>712</v>
      </c>
      <c r="B60" s="3" t="s">
        <v>713</v>
      </c>
      <c r="C60" s="3" t="s">
        <v>714</v>
      </c>
      <c r="D60" s="3" t="s">
        <v>181</v>
      </c>
      <c r="E60" s="3" t="s">
        <v>715</v>
      </c>
      <c r="F60" s="3" t="s">
        <v>19</v>
      </c>
      <c r="G60" s="3" t="str">
        <f aca="false">IF(LEFT(D60,3)="09S",LEFT(D60,14),D60)</f>
        <v>NXH0HAL001838E71669501</v>
      </c>
      <c r="H60" s="9" t="str">
        <f aca="false">IF(COUNTIF(Conferência!$A$4:$A$336,F60)=0,"",IF(COUNTIFS(Conferência!$A$4:$A$336,F60,Conferência!$D$4:$D$336,G60)&gt;0,"Confere","Falta no Word"))</f>
        <v>Falta no Word</v>
      </c>
      <c r="I60" s="3" t="s">
        <v>732</v>
      </c>
    </row>
    <row r="61" customFormat="false" ht="15" hidden="false" customHeight="false" outlineLevel="0" collapsed="false">
      <c r="A61" s="3" t="s">
        <v>712</v>
      </c>
      <c r="B61" s="3" t="s">
        <v>713</v>
      </c>
      <c r="C61" s="3" t="s">
        <v>714</v>
      </c>
      <c r="D61" s="3" t="s">
        <v>184</v>
      </c>
      <c r="E61" s="3" t="s">
        <v>715</v>
      </c>
      <c r="F61" s="3" t="s">
        <v>19</v>
      </c>
      <c r="G61" s="3" t="str">
        <f aca="false">IF(LEFT(D61,3)="09S",LEFT(D61,14),D61)</f>
        <v>NXH0HAL001838E76A89501</v>
      </c>
      <c r="H61" s="9" t="str">
        <f aca="false">IF(COUNTIF(Conferência!$A$4:$A$336,F61)=0,"",IF(COUNTIFS(Conferência!$A$4:$A$336,F61,Conferência!$D$4:$D$336,G61)&gt;0,"Confere","Falta no Word"))</f>
        <v>Falta no Word</v>
      </c>
      <c r="I61" s="3" t="s">
        <v>733</v>
      </c>
    </row>
    <row r="62" customFormat="false" ht="15" hidden="false" customHeight="false" outlineLevel="0" collapsed="false">
      <c r="A62" s="3" t="s">
        <v>712</v>
      </c>
      <c r="B62" s="3" t="s">
        <v>713</v>
      </c>
      <c r="C62" s="3" t="s">
        <v>714</v>
      </c>
      <c r="D62" s="3" t="s">
        <v>171</v>
      </c>
      <c r="E62" s="3" t="s">
        <v>715</v>
      </c>
      <c r="F62" s="3" t="s">
        <v>19</v>
      </c>
      <c r="G62" s="3" t="str">
        <f aca="false">IF(LEFT(D62,3)="09S",LEFT(D62,14),D62)</f>
        <v>NXH0HAL001838E68C29501</v>
      </c>
      <c r="H62" s="9" t="str">
        <f aca="false">IF(COUNTIF(Conferência!$A$4:$A$336,F62)=0,"",IF(COUNTIFS(Conferência!$A$4:$A$336,F62,Conferência!$D$4:$D$336,G62)&gt;0,"Confere","Falta no Word"))</f>
        <v>Falta no Word</v>
      </c>
      <c r="I62" s="3" t="s">
        <v>734</v>
      </c>
    </row>
    <row r="63" customFormat="false" ht="15" hidden="false" customHeight="false" outlineLevel="0" collapsed="false">
      <c r="A63" s="3" t="s">
        <v>712</v>
      </c>
      <c r="B63" s="3" t="s">
        <v>713</v>
      </c>
      <c r="C63" s="3" t="s">
        <v>714</v>
      </c>
      <c r="D63" s="3" t="s">
        <v>616</v>
      </c>
      <c r="E63" s="3" t="s">
        <v>715</v>
      </c>
      <c r="F63" s="3" t="s">
        <v>19</v>
      </c>
      <c r="G63" s="3" t="str">
        <f aca="false">IF(LEFT(D63,3)="09S",LEFT(D63,14),D63)</f>
        <v>NXH0HAL001832D5F0C9501</v>
      </c>
      <c r="H63" s="9" t="str">
        <f aca="false">IF(COUNTIF(Conferência!$A$4:$A$336,F63)=0,"",IF(COUNTIFS(Conferência!$A$4:$A$336,F63,Conferência!$D$4:$D$336,G63)&gt;0,"Confere","Falta no Word"))</f>
        <v>Confere</v>
      </c>
      <c r="I63" s="3"/>
    </row>
    <row r="64" customFormat="false" ht="15" hidden="false" customHeight="false" outlineLevel="0" collapsed="false">
      <c r="A64" s="3" t="s">
        <v>712</v>
      </c>
      <c r="B64" s="3" t="s">
        <v>713</v>
      </c>
      <c r="C64" s="3" t="s">
        <v>714</v>
      </c>
      <c r="D64" s="3" t="s">
        <v>627</v>
      </c>
      <c r="E64" s="3" t="s">
        <v>715</v>
      </c>
      <c r="F64" s="3" t="s">
        <v>19</v>
      </c>
      <c r="G64" s="3" t="str">
        <f aca="false">IF(LEFT(D64,3)="09S",LEFT(D64,14),D64)</f>
        <v>NXH0HAL001830D21C29501</v>
      </c>
      <c r="H64" s="9" t="str">
        <f aca="false">IF(COUNTIF(Conferência!$A$4:$A$336,F64)=0,"",IF(COUNTIFS(Conferência!$A$4:$A$336,F64,Conferência!$D$4:$D$336,G64)&gt;0,"Confere","Falta no Word"))</f>
        <v>Confere</v>
      </c>
      <c r="I64" s="3"/>
    </row>
    <row r="65" customFormat="false" ht="15" hidden="false" customHeight="false" outlineLevel="0" collapsed="false">
      <c r="A65" s="3" t="s">
        <v>712</v>
      </c>
      <c r="B65" s="3" t="s">
        <v>713</v>
      </c>
      <c r="C65" s="3" t="s">
        <v>717</v>
      </c>
      <c r="D65" s="3" t="s">
        <v>638</v>
      </c>
      <c r="E65" s="3" t="s">
        <v>715</v>
      </c>
      <c r="F65" s="3" t="s">
        <v>19</v>
      </c>
      <c r="G65" s="3" t="str">
        <f aca="false">IF(LEFT(D65,3)="09S",LEFT(D65,14),D65)</f>
        <v>09S29QAR108777</v>
      </c>
      <c r="H65" s="9" t="str">
        <f aca="false">IF(COUNTIF(Conferência!$A$4:$A$336,F65)=0,"",IF(COUNTIFS(Conferência!$A$4:$A$336,F65,Conferência!$D$4:$D$336,G65)&gt;0,"Confere","Falta no Word"))</f>
        <v>Confere</v>
      </c>
      <c r="I65" s="3"/>
    </row>
    <row r="66" customFormat="false" ht="15" hidden="false" customHeight="false" outlineLevel="0" collapsed="false">
      <c r="A66" s="3" t="s">
        <v>712</v>
      </c>
      <c r="B66" s="3" t="s">
        <v>713</v>
      </c>
      <c r="C66" s="3" t="s">
        <v>717</v>
      </c>
      <c r="D66" s="3" t="s">
        <v>114</v>
      </c>
      <c r="E66" s="3" t="s">
        <v>715</v>
      </c>
      <c r="F66" s="3" t="s">
        <v>19</v>
      </c>
      <c r="G66" s="3" t="str">
        <f aca="false">IF(LEFT(D66,3)="09S",LEFT(D66,14),D66)</f>
        <v>09S29QANC07347</v>
      </c>
      <c r="H66" s="9" t="str">
        <f aca="false">IF(COUNTIF(Conferência!$A$4:$A$336,F66)=0,"",IF(COUNTIFS(Conferência!$A$4:$A$336,F66,Conferência!$D$4:$D$336,G66)&gt;0,"Confere","Falta no Word"))</f>
        <v>Falta no Word</v>
      </c>
      <c r="I66" s="3" t="s">
        <v>735</v>
      </c>
    </row>
    <row r="67" customFormat="false" ht="15" hidden="false" customHeight="false" outlineLevel="0" collapsed="false">
      <c r="A67" s="3" t="s">
        <v>712</v>
      </c>
      <c r="B67" s="3" t="s">
        <v>713</v>
      </c>
      <c r="C67" s="3" t="s">
        <v>714</v>
      </c>
      <c r="D67" s="3" t="s">
        <v>196</v>
      </c>
      <c r="E67" s="3" t="s">
        <v>715</v>
      </c>
      <c r="F67" s="3" t="s">
        <v>123</v>
      </c>
      <c r="G67" s="3" t="str">
        <f aca="false">IF(LEFT(D67,3)="09S",LEFT(D67,14),D67)</f>
        <v>NXH0HAL001839ED8399501</v>
      </c>
      <c r="H67" s="9" t="str">
        <f aca="false">IF(COUNTIF(Conferência!$A$4:$A$336,F67)=0,"",IF(COUNTIFS(Conferência!$A$4:$A$336,F67,Conferência!$D$4:$D$336,G67)&gt;0,"Confere","Falta no Word"))</f>
        <v/>
      </c>
      <c r="I67" s="3"/>
    </row>
    <row r="68" customFormat="false" ht="15" hidden="false" customHeight="false" outlineLevel="0" collapsed="false">
      <c r="A68" s="3" t="s">
        <v>712</v>
      </c>
      <c r="B68" s="3" t="s">
        <v>713</v>
      </c>
      <c r="C68" s="3" t="s">
        <v>720</v>
      </c>
      <c r="D68" s="3" t="s">
        <v>122</v>
      </c>
      <c r="E68" s="3" t="s">
        <v>715</v>
      </c>
      <c r="F68" s="3" t="s">
        <v>123</v>
      </c>
      <c r="G68" s="3" t="str">
        <f aca="false">IF(LEFT(D68,3)="09S",LEFT(D68,14),D68)</f>
        <v>09S29QBR712609</v>
      </c>
      <c r="H68" s="9" t="str">
        <f aca="false">IF(COUNTIF(Conferência!$A$4:$A$336,F68)=0,"",IF(COUNTIFS(Conferência!$A$4:$A$336,F68,Conferência!$D$4:$D$336,G68)&gt;0,"Confere","Falta no Word"))</f>
        <v/>
      </c>
      <c r="I68" s="3"/>
    </row>
    <row r="69" customFormat="false" ht="15" hidden="false" customHeight="false" outlineLevel="0" collapsed="false">
      <c r="A69" s="3" t="s">
        <v>712</v>
      </c>
      <c r="B69" s="3" t="s">
        <v>713</v>
      </c>
      <c r="C69" s="3" t="s">
        <v>714</v>
      </c>
      <c r="D69" s="3" t="s">
        <v>694</v>
      </c>
      <c r="E69" s="3" t="s">
        <v>715</v>
      </c>
      <c r="F69" s="3" t="s">
        <v>21</v>
      </c>
      <c r="G69" s="3" t="str">
        <f aca="false">IF(LEFT(D69,3)="09S",LEFT(D69,14),D69)</f>
        <v>NXH0HAL0018481E9B89501</v>
      </c>
      <c r="H69" s="9" t="str">
        <f aca="false">IF(COUNTIF(Conferência!$A$4:$A$336,F69)=0,"",IF(COUNTIFS(Conferência!$A$4:$A$336,F69,Conferência!$D$4:$D$336,G69)&gt;0,"Confere","Falta no Word"))</f>
        <v>Confere</v>
      </c>
      <c r="I69" s="3"/>
    </row>
    <row r="70" customFormat="false" ht="15" hidden="false" customHeight="false" outlineLevel="0" collapsed="false">
      <c r="A70" s="3" t="s">
        <v>712</v>
      </c>
      <c r="B70" s="3" t="s">
        <v>713</v>
      </c>
      <c r="C70" s="3" t="s">
        <v>714</v>
      </c>
      <c r="D70" s="3" t="s">
        <v>702</v>
      </c>
      <c r="E70" s="3" t="s">
        <v>715</v>
      </c>
      <c r="F70" s="3" t="s">
        <v>21</v>
      </c>
      <c r="G70" s="3" t="str">
        <f aca="false">IF(LEFT(D70,3)="09S",LEFT(D70,14),D70)</f>
        <v>NXH0HAL001838E7B809501</v>
      </c>
      <c r="H70" s="9" t="str">
        <f aca="false">IF(COUNTIF(Conferência!$A$4:$A$336,F70)=0,"",IF(COUNTIFS(Conferência!$A$4:$A$336,F70,Conferência!$D$4:$D$336,G70)&gt;0,"Confere","Falta no Word"))</f>
        <v>Confere</v>
      </c>
      <c r="I70" s="3"/>
    </row>
    <row r="71" customFormat="false" ht="15" hidden="false" customHeight="false" outlineLevel="0" collapsed="false">
      <c r="A71" s="3" t="s">
        <v>712</v>
      </c>
      <c r="B71" s="3" t="s">
        <v>713</v>
      </c>
      <c r="C71" s="3" t="s">
        <v>714</v>
      </c>
      <c r="D71" s="3" t="s">
        <v>690</v>
      </c>
      <c r="E71" s="3" t="s">
        <v>715</v>
      </c>
      <c r="F71" s="3" t="s">
        <v>21</v>
      </c>
      <c r="G71" s="3" t="str">
        <f aca="false">IF(LEFT(D71,3)="09S",LEFT(D71,14),D71)</f>
        <v>NXH0HAL001832D67DC9501</v>
      </c>
      <c r="H71" s="9" t="str">
        <f aca="false">IF(COUNTIF(Conferência!$A$4:$A$336,F71)=0,"",IF(COUNTIFS(Conferência!$A$4:$A$336,F71,Conferência!$D$4:$D$336,G71)&gt;0,"Confere","Falta no Word"))</f>
        <v>Confere</v>
      </c>
      <c r="I71" s="3"/>
    </row>
    <row r="72" customFormat="false" ht="15" hidden="false" customHeight="false" outlineLevel="0" collapsed="false">
      <c r="A72" s="3" t="s">
        <v>712</v>
      </c>
      <c r="B72" s="3" t="s">
        <v>713</v>
      </c>
      <c r="C72" s="3" t="s">
        <v>714</v>
      </c>
      <c r="D72" s="3" t="s">
        <v>700</v>
      </c>
      <c r="E72" s="3" t="s">
        <v>715</v>
      </c>
      <c r="F72" s="3" t="s">
        <v>21</v>
      </c>
      <c r="G72" s="3" t="str">
        <f aca="false">IF(LEFT(D72,3)="09S",LEFT(D72,14),D72)</f>
        <v>NXH0HAL001838E744C9501</v>
      </c>
      <c r="H72" s="9" t="str">
        <f aca="false">IF(COUNTIF(Conferência!$A$4:$A$336,F72)=0,"",IF(COUNTIFS(Conferência!$A$4:$A$336,F72,Conferência!$D$4:$D$336,G72)&gt;0,"Confere","Falta no Word"))</f>
        <v>Confere</v>
      </c>
      <c r="I72" s="3"/>
    </row>
    <row r="73" customFormat="false" ht="15" hidden="false" customHeight="false" outlineLevel="0" collapsed="false">
      <c r="A73" s="3" t="s">
        <v>712</v>
      </c>
      <c r="B73" s="3" t="s">
        <v>713</v>
      </c>
      <c r="C73" s="3" t="s">
        <v>714</v>
      </c>
      <c r="D73" s="3" t="s">
        <v>697</v>
      </c>
      <c r="E73" s="3" t="s">
        <v>715</v>
      </c>
      <c r="F73" s="3" t="s">
        <v>21</v>
      </c>
      <c r="G73" s="3" t="str">
        <f aca="false">IF(LEFT(D73,3)="09S",LEFT(D73,14),D73)</f>
        <v>NXH0HAL001830D18CC9501</v>
      </c>
      <c r="H73" s="9" t="str">
        <f aca="false">IF(COUNTIF(Conferência!$A$4:$A$336,F73)=0,"",IF(COUNTIFS(Conferência!$A$4:$A$336,F73,Conferência!$D$4:$D$336,G73)&gt;0,"Confere","Falta no Word"))</f>
        <v>Confere</v>
      </c>
      <c r="I73" s="3"/>
    </row>
    <row r="74" customFormat="false" ht="15" hidden="false" customHeight="false" outlineLevel="0" collapsed="false">
      <c r="A74" s="3" t="s">
        <v>712</v>
      </c>
      <c r="B74" s="3" t="s">
        <v>713</v>
      </c>
      <c r="C74" s="3" t="s">
        <v>714</v>
      </c>
      <c r="D74" s="3" t="s">
        <v>696</v>
      </c>
      <c r="E74" s="3" t="s">
        <v>715</v>
      </c>
      <c r="F74" s="3" t="s">
        <v>21</v>
      </c>
      <c r="G74" s="3" t="str">
        <f aca="false">IF(LEFT(D74,3)="09S",LEFT(D74,14),D74)</f>
        <v>NXH0HAL001838E6A519501</v>
      </c>
      <c r="H74" s="9" t="str">
        <f aca="false">IF(COUNTIF(Conferência!$A$4:$A$336,F74)=0,"",IF(COUNTIFS(Conferência!$A$4:$A$336,F74,Conferência!$D$4:$D$336,G74)&gt;0,"Confere","Falta no Word"))</f>
        <v>Confere</v>
      </c>
      <c r="I74" s="3"/>
    </row>
    <row r="75" customFormat="false" ht="15" hidden="false" customHeight="false" outlineLevel="0" collapsed="false">
      <c r="A75" s="3" t="s">
        <v>712</v>
      </c>
      <c r="B75" s="3" t="s">
        <v>713</v>
      </c>
      <c r="C75" s="3" t="s">
        <v>717</v>
      </c>
      <c r="D75" s="3" t="s">
        <v>209</v>
      </c>
      <c r="E75" s="3" t="s">
        <v>715</v>
      </c>
      <c r="F75" s="3" t="s">
        <v>21</v>
      </c>
      <c r="G75" s="3" t="str">
        <f aca="false">IF(LEFT(D75,3)="09S",LEFT(D75,14),D75)</f>
        <v>09S29QAR110922</v>
      </c>
      <c r="H75" s="9" t="str">
        <f aca="false">IF(COUNTIF(Conferência!$A$4:$A$336,F75)=0,"",IF(COUNTIFS(Conferência!$A$4:$A$336,F75,Conferência!$D$4:$D$336,G75)&gt;0,"Confere","Falta no Word"))</f>
        <v>Falta no Word</v>
      </c>
      <c r="I75" s="3" t="s">
        <v>736</v>
      </c>
    </row>
    <row r="76" customFormat="false" ht="15" hidden="false" customHeight="false" outlineLevel="0" collapsed="false">
      <c r="A76" s="3" t="s">
        <v>712</v>
      </c>
      <c r="B76" s="3" t="s">
        <v>713</v>
      </c>
      <c r="C76" s="3" t="s">
        <v>717</v>
      </c>
      <c r="D76" s="3" t="s">
        <v>213</v>
      </c>
      <c r="E76" s="3" t="s">
        <v>715</v>
      </c>
      <c r="F76" s="3" t="s">
        <v>21</v>
      </c>
      <c r="G76" s="3" t="str">
        <f aca="false">IF(LEFT(D76,3)="09S",LEFT(D76,14),D76)</f>
        <v>09S29QAR111100</v>
      </c>
      <c r="H76" s="9" t="str">
        <f aca="false">IF(COUNTIF(Conferência!$A$4:$A$336,F76)=0,"",IF(COUNTIFS(Conferência!$A$4:$A$336,F76,Conferência!$D$4:$D$336,G76)&gt;0,"Confere","Falta no Word"))</f>
        <v>Confere</v>
      </c>
      <c r="I76" s="3"/>
    </row>
    <row r="77" customFormat="false" ht="15" hidden="false" customHeight="false" outlineLevel="0" collapsed="false">
      <c r="A77" s="3" t="s">
        <v>712</v>
      </c>
      <c r="B77" s="3" t="s">
        <v>713</v>
      </c>
      <c r="C77" s="3" t="s">
        <v>717</v>
      </c>
      <c r="D77" s="3" t="s">
        <v>687</v>
      </c>
      <c r="E77" s="3" t="s">
        <v>715</v>
      </c>
      <c r="F77" s="3" t="s">
        <v>21</v>
      </c>
      <c r="G77" s="3" t="str">
        <f aca="false">IF(LEFT(D77,3)="09S",LEFT(D77,14),D77)</f>
        <v>09S29QAR109626</v>
      </c>
      <c r="H77" s="9" t="str">
        <f aca="false">IF(COUNTIF(Conferência!$A$4:$A$336,F77)=0,"",IF(COUNTIFS(Conferência!$A$4:$A$336,F77,Conferência!$D$4:$D$336,G77)&gt;0,"Confere","Falta no Word"))</f>
        <v>Confere</v>
      </c>
      <c r="I77" s="3"/>
    </row>
    <row r="78" customFormat="false" ht="15" hidden="false" customHeight="false" outlineLevel="0" collapsed="false">
      <c r="A78" s="3" t="s">
        <v>712</v>
      </c>
      <c r="B78" s="3" t="s">
        <v>713</v>
      </c>
      <c r="C78" s="3" t="s">
        <v>717</v>
      </c>
      <c r="D78" s="3" t="s">
        <v>669</v>
      </c>
      <c r="E78" s="3" t="s">
        <v>715</v>
      </c>
      <c r="F78" s="3" t="s">
        <v>21</v>
      </c>
      <c r="G78" s="3" t="str">
        <f aca="false">IF(LEFT(D78,3)="09S",LEFT(D78,14),D78)</f>
        <v>09S29QAR109516</v>
      </c>
      <c r="H78" s="9" t="str">
        <f aca="false">IF(COUNTIF(Conferência!$A$4:$A$336,F78)=0,"",IF(COUNTIFS(Conferência!$A$4:$A$336,F78,Conferência!$D$4:$D$336,G78)&gt;0,"Confere","Falta no Word"))</f>
        <v>Confere</v>
      </c>
      <c r="I78" s="3"/>
    </row>
    <row r="79" customFormat="false" ht="15" hidden="false" customHeight="false" outlineLevel="0" collapsed="false">
      <c r="A79" s="3" t="s">
        <v>712</v>
      </c>
      <c r="B79" s="3" t="s">
        <v>713</v>
      </c>
      <c r="C79" s="3" t="s">
        <v>717</v>
      </c>
      <c r="D79" s="3" t="s">
        <v>704</v>
      </c>
      <c r="E79" s="3" t="s">
        <v>715</v>
      </c>
      <c r="F79" s="3" t="s">
        <v>21</v>
      </c>
      <c r="G79" s="3" t="str">
        <f aca="false">IF(LEFT(D79,3)="09S",LEFT(D79,14),D79)</f>
        <v>09S29QAR109471</v>
      </c>
      <c r="H79" s="9" t="str">
        <f aca="false">IF(COUNTIF(Conferência!$A$4:$A$336,F79)=0,"",IF(COUNTIFS(Conferência!$A$4:$A$336,F79,Conferência!$D$4:$D$336,G79)&gt;0,"Confere","Falta no Word"))</f>
        <v>Confere</v>
      </c>
      <c r="I79" s="3"/>
    </row>
    <row r="80" customFormat="false" ht="15" hidden="false" customHeight="false" outlineLevel="0" collapsed="false">
      <c r="A80" s="3" t="s">
        <v>712</v>
      </c>
      <c r="B80" s="3" t="s">
        <v>713</v>
      </c>
      <c r="C80" s="3" t="s">
        <v>720</v>
      </c>
      <c r="D80" s="3" t="s">
        <v>737</v>
      </c>
      <c r="E80" s="3" t="s">
        <v>715</v>
      </c>
      <c r="F80" s="3" t="s">
        <v>21</v>
      </c>
      <c r="G80" s="3" t="str">
        <f aca="false">IF(LEFT(D80,3)="09S",LEFT(D80,14),D80)</f>
        <v>09S29QBR701873</v>
      </c>
      <c r="H80" s="9" t="str">
        <f aca="false">IF(COUNTIF(Conferência!$A$4:$A$336,F80)=0,"",IF(COUNTIFS(Conferência!$A$4:$A$336,F80,Conferência!$D$4:$D$336,G80)&gt;0,"Confere","Falta no Word"))</f>
        <v>Confere</v>
      </c>
      <c r="I80" s="3"/>
    </row>
    <row r="81" customFormat="false" ht="15" hidden="false" customHeight="false" outlineLevel="0" collapsed="false">
      <c r="A81" s="3" t="s">
        <v>712</v>
      </c>
      <c r="B81" s="3" t="s">
        <v>713</v>
      </c>
      <c r="C81" s="3" t="s">
        <v>720</v>
      </c>
      <c r="D81" s="3" t="s">
        <v>738</v>
      </c>
      <c r="E81" s="3" t="s">
        <v>715</v>
      </c>
      <c r="F81" s="3" t="s">
        <v>21</v>
      </c>
      <c r="G81" s="3" t="str">
        <f aca="false">IF(LEFT(D81,3)="09S",LEFT(D81,14),D81)</f>
        <v>09S29QBR707184</v>
      </c>
      <c r="H81" s="9" t="str">
        <f aca="false">IF(COUNTIF(Conferência!$A$4:$A$336,F81)=0,"",IF(COUNTIFS(Conferência!$A$4:$A$336,F81,Conferência!$D$4:$D$336,G81)&gt;0,"Confere","Falta no Word"))</f>
        <v>Confere</v>
      </c>
      <c r="I81" s="3"/>
    </row>
    <row r="82" customFormat="false" ht="15" hidden="false" customHeight="false" outlineLevel="0" collapsed="false">
      <c r="A82" s="3" t="s">
        <v>712</v>
      </c>
      <c r="B82" s="3" t="s">
        <v>713</v>
      </c>
      <c r="C82" s="3" t="s">
        <v>720</v>
      </c>
      <c r="D82" s="3" t="s">
        <v>739</v>
      </c>
      <c r="E82" s="3" t="s">
        <v>715</v>
      </c>
      <c r="F82" s="3" t="s">
        <v>21</v>
      </c>
      <c r="G82" s="3" t="str">
        <f aca="false">IF(LEFT(D82,3)="09S",LEFT(D82,14),D82)</f>
        <v>09S29QBR702067</v>
      </c>
      <c r="H82" s="9" t="str">
        <f aca="false">IF(COUNTIF(Conferência!$A$4:$A$336,F82)=0,"",IF(COUNTIFS(Conferência!$A$4:$A$336,F82,Conferência!$D$4:$D$336,G82)&gt;0,"Confere","Falta no Word"))</f>
        <v>Confere</v>
      </c>
      <c r="I82" s="3"/>
    </row>
    <row r="83" customFormat="false" ht="15" hidden="false" customHeight="false" outlineLevel="0" collapsed="false">
      <c r="A83" s="3" t="s">
        <v>712</v>
      </c>
      <c r="B83" s="3" t="s">
        <v>713</v>
      </c>
      <c r="C83" s="3" t="s">
        <v>720</v>
      </c>
      <c r="D83" s="3" t="s">
        <v>131</v>
      </c>
      <c r="E83" s="3" t="s">
        <v>715</v>
      </c>
      <c r="F83" s="3" t="s">
        <v>21</v>
      </c>
      <c r="G83" s="3" t="str">
        <f aca="false">IF(LEFT(D83,3)="09S",LEFT(D83,14),D83)</f>
        <v>09S29QBR702099</v>
      </c>
      <c r="H83" s="9" t="str">
        <f aca="false">IF(COUNTIF(Conferência!$A$4:$A$336,F83)=0,"",IF(COUNTIFS(Conferência!$A$4:$A$336,F83,Conferência!$D$4:$D$336,G83)&gt;0,"Confere","Falta no Word"))</f>
        <v>Falta no Word</v>
      </c>
      <c r="I83" s="3" t="s">
        <v>740</v>
      </c>
    </row>
    <row r="84" customFormat="false" ht="15" hidden="false" customHeight="false" outlineLevel="0" collapsed="false">
      <c r="A84" s="3" t="s">
        <v>712</v>
      </c>
      <c r="B84" s="3" t="s">
        <v>713</v>
      </c>
      <c r="C84" s="3" t="s">
        <v>714</v>
      </c>
      <c r="D84" s="3" t="s">
        <v>365</v>
      </c>
      <c r="E84" s="3" t="s">
        <v>715</v>
      </c>
      <c r="F84" s="3" t="s">
        <v>10</v>
      </c>
      <c r="G84" s="3" t="str">
        <f aca="false">IF(LEFT(D84,3)="09S",LEFT(D84,14),D84)</f>
        <v>NXH0HAL0018481E9499501</v>
      </c>
      <c r="H84" s="9" t="str">
        <f aca="false">IF(COUNTIF(Conferência!$A$4:$A$336,F84)=0,"",IF(COUNTIFS(Conferência!$A$4:$A$336,F84,Conferência!$D$4:$D$336,G84)&gt;0,"Confere","Falta no Word"))</f>
        <v>Confere</v>
      </c>
      <c r="I84" s="3"/>
    </row>
    <row r="85" customFormat="false" ht="15" hidden="false" customHeight="false" outlineLevel="0" collapsed="false">
      <c r="A85" s="3" t="s">
        <v>712</v>
      </c>
      <c r="B85" s="3" t="s">
        <v>713</v>
      </c>
      <c r="C85" s="3" t="s">
        <v>714</v>
      </c>
      <c r="D85" s="3" t="s">
        <v>367</v>
      </c>
      <c r="E85" s="3" t="s">
        <v>715</v>
      </c>
      <c r="F85" s="3" t="s">
        <v>10</v>
      </c>
      <c r="G85" s="3" t="str">
        <f aca="false">IF(LEFT(D85,3)="09S",LEFT(D85,14),D85)</f>
        <v>NXH0HAL001830D18C09501</v>
      </c>
      <c r="H85" s="9" t="str">
        <f aca="false">IF(COUNTIF(Conferência!$A$4:$A$336,F85)=0,"",IF(COUNTIFS(Conferência!$A$4:$A$336,F85,Conferência!$D$4:$D$336,G85)&gt;0,"Confere","Falta no Word"))</f>
        <v>Confere</v>
      </c>
      <c r="I85" s="3"/>
    </row>
    <row r="86" customFormat="false" ht="15" hidden="false" customHeight="false" outlineLevel="0" collapsed="false">
      <c r="A86" s="3" t="s">
        <v>712</v>
      </c>
      <c r="B86" s="3" t="s">
        <v>713</v>
      </c>
      <c r="C86" s="3" t="s">
        <v>714</v>
      </c>
      <c r="D86" s="3" t="s">
        <v>369</v>
      </c>
      <c r="E86" s="3" t="s">
        <v>715</v>
      </c>
      <c r="F86" s="3" t="s">
        <v>10</v>
      </c>
      <c r="G86" s="3" t="str">
        <f aca="false">IF(LEFT(D86,3)="09S",LEFT(D86,14),D86)</f>
        <v>NXH0HAL001830D1BAD9501</v>
      </c>
      <c r="H86" s="9" t="str">
        <f aca="false">IF(COUNTIF(Conferência!$A$4:$A$336,F86)=0,"",IF(COUNTIFS(Conferência!$A$4:$A$336,F86,Conferência!$D$4:$D$336,G86)&gt;0,"Confere","Falta no Word"))</f>
        <v>Confere</v>
      </c>
      <c r="I86" s="3"/>
    </row>
    <row r="87" customFormat="false" ht="15" hidden="false" customHeight="false" outlineLevel="0" collapsed="false">
      <c r="A87" s="3" t="s">
        <v>712</v>
      </c>
      <c r="B87" s="3" t="s">
        <v>713</v>
      </c>
      <c r="C87" s="3" t="s">
        <v>714</v>
      </c>
      <c r="D87" s="3" t="s">
        <v>366</v>
      </c>
      <c r="E87" s="3" t="s">
        <v>715</v>
      </c>
      <c r="F87" s="3" t="s">
        <v>10</v>
      </c>
      <c r="G87" s="3" t="str">
        <f aca="false">IF(LEFT(D87,3)="09S",LEFT(D87,14),D87)</f>
        <v>NXH0HAL001832D65419501</v>
      </c>
      <c r="H87" s="9" t="str">
        <f aca="false">IF(COUNTIF(Conferência!$A$4:$A$336,F87)=0,"",IF(COUNTIFS(Conferência!$A$4:$A$336,F87,Conferência!$D$4:$D$336,G87)&gt;0,"Confere","Falta no Word"))</f>
        <v>Confere</v>
      </c>
      <c r="I87" s="3"/>
    </row>
    <row r="88" customFormat="false" ht="15" hidden="false" customHeight="false" outlineLevel="0" collapsed="false">
      <c r="A88" s="3" t="s">
        <v>712</v>
      </c>
      <c r="B88" s="3" t="s">
        <v>713</v>
      </c>
      <c r="C88" s="3" t="s">
        <v>714</v>
      </c>
      <c r="D88" s="3" t="s">
        <v>361</v>
      </c>
      <c r="E88" s="3" t="s">
        <v>715</v>
      </c>
      <c r="F88" s="3" t="s">
        <v>10</v>
      </c>
      <c r="G88" s="3" t="str">
        <f aca="false">IF(LEFT(D88,3)="09S",LEFT(D88,14),D88)</f>
        <v>NXH0HAL001831D29089501</v>
      </c>
      <c r="H88" s="9" t="str">
        <f aca="false">IF(COUNTIF(Conferência!$A$4:$A$336,F88)=0,"",IF(COUNTIFS(Conferência!$A$4:$A$336,F88,Conferência!$D$4:$D$336,G88)&gt;0,"Confere","Falta no Word"))</f>
        <v>Confere</v>
      </c>
      <c r="I88" s="3"/>
    </row>
    <row r="89" customFormat="false" ht="15" hidden="false" customHeight="false" outlineLevel="0" collapsed="false">
      <c r="A89" s="3" t="s">
        <v>712</v>
      </c>
      <c r="B89" s="3" t="s">
        <v>713</v>
      </c>
      <c r="C89" s="3" t="s">
        <v>714</v>
      </c>
      <c r="D89" s="3" t="s">
        <v>374</v>
      </c>
      <c r="E89" s="3" t="s">
        <v>715</v>
      </c>
      <c r="F89" s="3" t="s">
        <v>10</v>
      </c>
      <c r="G89" s="3" t="str">
        <f aca="false">IF(LEFT(D89,3)="09S",LEFT(D89,14),D89)</f>
        <v>NXH0HAL001832D65AB9501</v>
      </c>
      <c r="H89" s="9" t="str">
        <f aca="false">IF(COUNTIF(Conferência!$A$4:$A$336,F89)=0,"",IF(COUNTIFS(Conferência!$A$4:$A$336,F89,Conferência!$D$4:$D$336,G89)&gt;0,"Confere","Falta no Word"))</f>
        <v>Confere</v>
      </c>
      <c r="I89" s="3"/>
    </row>
    <row r="90" customFormat="false" ht="15" hidden="false" customHeight="false" outlineLevel="0" collapsed="false">
      <c r="A90" s="3" t="s">
        <v>712</v>
      </c>
      <c r="B90" s="3" t="s">
        <v>713</v>
      </c>
      <c r="C90" s="3" t="s">
        <v>714</v>
      </c>
      <c r="D90" s="3" t="s">
        <v>376</v>
      </c>
      <c r="E90" s="3" t="s">
        <v>715</v>
      </c>
      <c r="F90" s="3" t="s">
        <v>10</v>
      </c>
      <c r="G90" s="3" t="str">
        <f aca="false">IF(LEFT(D90,3)="09S",LEFT(D90,14),D90)</f>
        <v>NXH0HAL001832D5C449501</v>
      </c>
      <c r="H90" s="9" t="str">
        <f aca="false">IF(COUNTIF(Conferência!$A$4:$A$336,F90)=0,"",IF(COUNTIFS(Conferência!$A$4:$A$336,F90,Conferência!$D$4:$D$336,G90)&gt;0,"Confere","Falta no Word"))</f>
        <v>Confere</v>
      </c>
      <c r="I90" s="3"/>
    </row>
    <row r="91" customFormat="false" ht="15" hidden="false" customHeight="false" outlineLevel="0" collapsed="false">
      <c r="A91" s="3" t="s">
        <v>712</v>
      </c>
      <c r="B91" s="3" t="s">
        <v>713</v>
      </c>
      <c r="C91" s="3" t="s">
        <v>714</v>
      </c>
      <c r="D91" s="3" t="s">
        <v>379</v>
      </c>
      <c r="E91" s="3" t="s">
        <v>715</v>
      </c>
      <c r="F91" s="3" t="s">
        <v>10</v>
      </c>
      <c r="G91" s="3" t="str">
        <f aca="false">IF(LEFT(D91,3)="09S",LEFT(D91,14),D91)</f>
        <v>NXH0HAL001839ED5039501</v>
      </c>
      <c r="H91" s="9" t="str">
        <f aca="false">IF(COUNTIF(Conferência!$A$4:$A$336,F91)=0,"",IF(COUNTIFS(Conferência!$A$4:$A$336,F91,Conferência!$D$4:$D$336,G91)&gt;0,"Confere","Falta no Word"))</f>
        <v>Confere</v>
      </c>
      <c r="I91" s="3"/>
    </row>
    <row r="92" customFormat="false" ht="15" hidden="false" customHeight="false" outlineLevel="0" collapsed="false">
      <c r="A92" s="3" t="s">
        <v>712</v>
      </c>
      <c r="B92" s="3" t="s">
        <v>713</v>
      </c>
      <c r="C92" s="3" t="s">
        <v>714</v>
      </c>
      <c r="D92" s="3" t="s">
        <v>377</v>
      </c>
      <c r="E92" s="3" t="s">
        <v>715</v>
      </c>
      <c r="F92" s="3" t="s">
        <v>10</v>
      </c>
      <c r="G92" s="3" t="str">
        <f aca="false">IF(LEFT(D92,3)="09S",LEFT(D92,14),D92)</f>
        <v>NXH0HAL001830D190D9501</v>
      </c>
      <c r="H92" s="9" t="str">
        <f aca="false">IF(COUNTIF(Conferência!$A$4:$A$336,F92)=0,"",IF(COUNTIFS(Conferência!$A$4:$A$336,F92,Conferência!$D$4:$D$336,G92)&gt;0,"Confere","Falta no Word"))</f>
        <v>Confere</v>
      </c>
      <c r="I92" s="3"/>
    </row>
    <row r="93" customFormat="false" ht="15" hidden="false" customHeight="false" outlineLevel="0" collapsed="false">
      <c r="A93" s="3" t="s">
        <v>712</v>
      </c>
      <c r="B93" s="3" t="s">
        <v>713</v>
      </c>
      <c r="C93" s="3" t="s">
        <v>714</v>
      </c>
      <c r="D93" s="3" t="s">
        <v>368</v>
      </c>
      <c r="E93" s="3" t="s">
        <v>715</v>
      </c>
      <c r="F93" s="3" t="s">
        <v>10</v>
      </c>
      <c r="G93" s="3" t="str">
        <f aca="false">IF(LEFT(D93,3)="09S",LEFT(D93,14),D93)</f>
        <v>NXH0HAL001830D20CC9501</v>
      </c>
      <c r="H93" s="9" t="str">
        <f aca="false">IF(COUNTIF(Conferência!$A$4:$A$336,F93)=0,"",IF(COUNTIFS(Conferência!$A$4:$A$336,F93,Conferência!$D$4:$D$336,G93)&gt;0,"Confere","Falta no Word"))</f>
        <v>Confere</v>
      </c>
      <c r="I93" s="3"/>
    </row>
    <row r="94" customFormat="false" ht="15" hidden="false" customHeight="false" outlineLevel="0" collapsed="false">
      <c r="A94" s="3" t="s">
        <v>712</v>
      </c>
      <c r="B94" s="3" t="s">
        <v>713</v>
      </c>
      <c r="C94" s="3" t="s">
        <v>714</v>
      </c>
      <c r="D94" s="3" t="s">
        <v>360</v>
      </c>
      <c r="E94" s="3" t="s">
        <v>715</v>
      </c>
      <c r="F94" s="3" t="s">
        <v>10</v>
      </c>
      <c r="G94" s="3" t="str">
        <f aca="false">IF(LEFT(D94,3)="09S",LEFT(D94,14),D94)</f>
        <v>NXH0HAL001832D6B599501</v>
      </c>
      <c r="H94" s="9" t="str">
        <f aca="false">IF(COUNTIF(Conferência!$A$4:$A$336,F94)=0,"",IF(COUNTIFS(Conferência!$A$4:$A$336,F94,Conferência!$D$4:$D$336,G94)&gt;0,"Confere","Falta no Word"))</f>
        <v>Confere</v>
      </c>
      <c r="I94" s="3"/>
    </row>
    <row r="95" customFormat="false" ht="15" hidden="false" customHeight="false" outlineLevel="0" collapsed="false">
      <c r="A95" s="3" t="s">
        <v>712</v>
      </c>
      <c r="B95" s="3" t="s">
        <v>713</v>
      </c>
      <c r="C95" s="3" t="s">
        <v>714</v>
      </c>
      <c r="D95" s="3" t="s">
        <v>363</v>
      </c>
      <c r="E95" s="3" t="s">
        <v>715</v>
      </c>
      <c r="F95" s="3" t="s">
        <v>10</v>
      </c>
      <c r="G95" s="3" t="str">
        <f aca="false">IF(LEFT(D95,3)="09S",LEFT(D95,14),D95)</f>
        <v>NXH0HAL001832D65779501</v>
      </c>
      <c r="H95" s="9" t="str">
        <f aca="false">IF(COUNTIF(Conferência!$A$4:$A$336,F95)=0,"",IF(COUNTIFS(Conferência!$A$4:$A$336,F95,Conferência!$D$4:$D$336,G95)&gt;0,"Confere","Falta no Word"))</f>
        <v>Confere</v>
      </c>
      <c r="I95" s="3"/>
    </row>
    <row r="96" customFormat="false" ht="15" hidden="false" customHeight="false" outlineLevel="0" collapsed="false">
      <c r="A96" s="3" t="s">
        <v>712</v>
      </c>
      <c r="B96" s="3" t="s">
        <v>713</v>
      </c>
      <c r="C96" s="3" t="s">
        <v>714</v>
      </c>
      <c r="D96" s="3" t="s">
        <v>375</v>
      </c>
      <c r="E96" s="3" t="s">
        <v>715</v>
      </c>
      <c r="F96" s="3" t="s">
        <v>10</v>
      </c>
      <c r="G96" s="3" t="str">
        <f aca="false">IF(LEFT(D96,3)="09S",LEFT(D96,14),D96)</f>
        <v>NXH0HAL001830D1FAE9501</v>
      </c>
      <c r="H96" s="9" t="str">
        <f aca="false">IF(COUNTIF(Conferência!$A$4:$A$336,F96)=0,"",IF(COUNTIFS(Conferência!$A$4:$A$336,F96,Conferência!$D$4:$D$336,G96)&gt;0,"Confere","Falta no Word"))</f>
        <v>Confere</v>
      </c>
      <c r="I96" s="3"/>
    </row>
    <row r="97" customFormat="false" ht="15" hidden="false" customHeight="false" outlineLevel="0" collapsed="false">
      <c r="A97" s="3" t="s">
        <v>712</v>
      </c>
      <c r="B97" s="3" t="s">
        <v>713</v>
      </c>
      <c r="C97" s="3" t="s">
        <v>714</v>
      </c>
      <c r="D97" s="3" t="s">
        <v>370</v>
      </c>
      <c r="E97" s="3" t="s">
        <v>715</v>
      </c>
      <c r="F97" s="3" t="s">
        <v>10</v>
      </c>
      <c r="G97" s="3" t="str">
        <f aca="false">IF(LEFT(D97,3)="09S",LEFT(D97,14),D97)</f>
        <v>NXH0HAL001832D672A9501</v>
      </c>
      <c r="H97" s="9" t="str">
        <f aca="false">IF(COUNTIF(Conferência!$A$4:$A$336,F97)=0,"",IF(COUNTIFS(Conferência!$A$4:$A$336,F97,Conferência!$D$4:$D$336,G97)&gt;0,"Confere","Falta no Word"))</f>
        <v>Confere</v>
      </c>
      <c r="I97" s="3"/>
    </row>
    <row r="98" customFormat="false" ht="15" hidden="false" customHeight="false" outlineLevel="0" collapsed="false">
      <c r="A98" s="3" t="s">
        <v>712</v>
      </c>
      <c r="B98" s="3" t="s">
        <v>713</v>
      </c>
      <c r="C98" s="3" t="s">
        <v>714</v>
      </c>
      <c r="D98" s="3" t="s">
        <v>373</v>
      </c>
      <c r="E98" s="3" t="s">
        <v>715</v>
      </c>
      <c r="F98" s="3" t="s">
        <v>10</v>
      </c>
      <c r="G98" s="3" t="str">
        <f aca="false">IF(LEFT(D98,3)="09S",LEFT(D98,14),D98)</f>
        <v>NXH0HAL001832D65F69501</v>
      </c>
      <c r="H98" s="9" t="str">
        <f aca="false">IF(COUNTIF(Conferência!$A$4:$A$336,F98)=0,"",IF(COUNTIFS(Conferência!$A$4:$A$336,F98,Conferência!$D$4:$D$336,G98)&gt;0,"Confere","Falta no Word"))</f>
        <v>Confere</v>
      </c>
      <c r="I98" s="3"/>
    </row>
    <row r="99" customFormat="false" ht="15" hidden="false" customHeight="false" outlineLevel="0" collapsed="false">
      <c r="A99" s="3" t="s">
        <v>712</v>
      </c>
      <c r="B99" s="3" t="s">
        <v>713</v>
      </c>
      <c r="C99" s="3" t="s">
        <v>714</v>
      </c>
      <c r="D99" s="3" t="s">
        <v>364</v>
      </c>
      <c r="E99" s="3" t="s">
        <v>715</v>
      </c>
      <c r="F99" s="3" t="s">
        <v>10</v>
      </c>
      <c r="G99" s="3" t="str">
        <f aca="false">IF(LEFT(D99,3)="09S",LEFT(D99,14),D99)</f>
        <v>NXH0HAL001832D65699501</v>
      </c>
      <c r="H99" s="9" t="str">
        <f aca="false">IF(COUNTIF(Conferência!$A$4:$A$336,F99)=0,"",IF(COUNTIFS(Conferência!$A$4:$A$336,F99,Conferência!$D$4:$D$336,G99)&gt;0,"Confere","Falta no Word"))</f>
        <v>Confere</v>
      </c>
      <c r="I99" s="3"/>
    </row>
    <row r="100" customFormat="false" ht="15" hidden="false" customHeight="false" outlineLevel="0" collapsed="false">
      <c r="A100" s="3" t="s">
        <v>712</v>
      </c>
      <c r="B100" s="3" t="s">
        <v>713</v>
      </c>
      <c r="C100" s="3" t="s">
        <v>714</v>
      </c>
      <c r="D100" s="3" t="s">
        <v>378</v>
      </c>
      <c r="E100" s="3" t="s">
        <v>715</v>
      </c>
      <c r="F100" s="3" t="s">
        <v>10</v>
      </c>
      <c r="G100" s="3" t="str">
        <f aca="false">IF(LEFT(D100,3)="09S",LEFT(D100,14),D100)</f>
        <v>NXH0HAL001830D1FCE9501</v>
      </c>
      <c r="H100" s="9" t="str">
        <f aca="false">IF(COUNTIF(Conferência!$A$4:$A$336,F100)=0,"",IF(COUNTIFS(Conferência!$A$4:$A$336,F100,Conferência!$D$4:$D$336,G100)&gt;0,"Confere","Falta no Word"))</f>
        <v>Confere</v>
      </c>
      <c r="I100" s="3"/>
    </row>
    <row r="101" customFormat="false" ht="15" hidden="false" customHeight="false" outlineLevel="0" collapsed="false">
      <c r="A101" s="3" t="s">
        <v>712</v>
      </c>
      <c r="B101" s="3" t="s">
        <v>713</v>
      </c>
      <c r="C101" s="3" t="s">
        <v>714</v>
      </c>
      <c r="D101" s="3" t="s">
        <v>357</v>
      </c>
      <c r="E101" s="3" t="s">
        <v>715</v>
      </c>
      <c r="F101" s="3" t="s">
        <v>10</v>
      </c>
      <c r="G101" s="3" t="str">
        <f aca="false">IF(LEFT(D101,3)="09S",LEFT(D101,14),D101)</f>
        <v>NXH0HAL001832D5D789501</v>
      </c>
      <c r="H101" s="9" t="str">
        <f aca="false">IF(COUNTIF(Conferência!$A$4:$A$336,F101)=0,"",IF(COUNTIFS(Conferência!$A$4:$A$336,F101,Conferência!$D$4:$D$336,G101)&gt;0,"Confere","Falta no Word"))</f>
        <v>Confere</v>
      </c>
      <c r="I101" s="3"/>
    </row>
    <row r="102" customFormat="false" ht="15" hidden="false" customHeight="false" outlineLevel="0" collapsed="false">
      <c r="A102" s="3" t="s">
        <v>712</v>
      </c>
      <c r="B102" s="3" t="s">
        <v>713</v>
      </c>
      <c r="C102" s="3" t="s">
        <v>714</v>
      </c>
      <c r="D102" s="3" t="s">
        <v>372</v>
      </c>
      <c r="E102" s="3" t="s">
        <v>715</v>
      </c>
      <c r="F102" s="3" t="s">
        <v>10</v>
      </c>
      <c r="G102" s="3" t="str">
        <f aca="false">IF(LEFT(D102,3)="09S",LEFT(D102,14),D102)</f>
        <v>NXH0HAL001831D28DD9501</v>
      </c>
      <c r="H102" s="9" t="str">
        <f aca="false">IF(COUNTIF(Conferência!$A$4:$A$336,F102)=0,"",IF(COUNTIFS(Conferência!$A$4:$A$336,F102,Conferência!$D$4:$D$336,G102)&gt;0,"Confere","Falta no Word"))</f>
        <v>Confere</v>
      </c>
      <c r="I102" s="3"/>
    </row>
    <row r="103" customFormat="false" ht="15" hidden="false" customHeight="false" outlineLevel="0" collapsed="false">
      <c r="A103" s="3" t="s">
        <v>712</v>
      </c>
      <c r="B103" s="3" t="s">
        <v>713</v>
      </c>
      <c r="C103" s="3" t="s">
        <v>714</v>
      </c>
      <c r="D103" s="3" t="s">
        <v>356</v>
      </c>
      <c r="E103" s="3" t="s">
        <v>715</v>
      </c>
      <c r="F103" s="3" t="s">
        <v>10</v>
      </c>
      <c r="G103" s="3" t="str">
        <f aca="false">IF(LEFT(D103,3)="09S",LEFT(D103,14),D103)</f>
        <v>NXH0HAL001832D67269501</v>
      </c>
      <c r="H103" s="9" t="str">
        <f aca="false">IF(COUNTIF(Conferência!$A$4:$A$336,F103)=0,"",IF(COUNTIFS(Conferência!$A$4:$A$336,F103,Conferência!$D$4:$D$336,G103)&gt;0,"Confere","Falta no Word"))</f>
        <v>Confere</v>
      </c>
      <c r="I103" s="3"/>
    </row>
    <row r="104" customFormat="false" ht="15" hidden="false" customHeight="false" outlineLevel="0" collapsed="false">
      <c r="A104" s="3" t="s">
        <v>712</v>
      </c>
      <c r="B104" s="3" t="s">
        <v>713</v>
      </c>
      <c r="C104" s="3" t="s">
        <v>714</v>
      </c>
      <c r="D104" s="3" t="s">
        <v>381</v>
      </c>
      <c r="E104" s="3" t="s">
        <v>715</v>
      </c>
      <c r="F104" s="3" t="s">
        <v>10</v>
      </c>
      <c r="G104" s="3" t="str">
        <f aca="false">IF(LEFT(D104,3)="09S",LEFT(D104,14),D104)</f>
        <v>NXH0HAL001832D65449501</v>
      </c>
      <c r="H104" s="9" t="str">
        <f aca="false">IF(COUNTIF(Conferência!$A$4:$A$336,F104)=0,"",IF(COUNTIFS(Conferência!$A$4:$A$336,F104,Conferência!$D$4:$D$336,G104)&gt;0,"Confere","Falta no Word"))</f>
        <v>Confere</v>
      </c>
      <c r="I104" s="3"/>
    </row>
    <row r="105" customFormat="false" ht="15" hidden="false" customHeight="false" outlineLevel="0" collapsed="false">
      <c r="A105" s="3" t="s">
        <v>712</v>
      </c>
      <c r="B105" s="3" t="s">
        <v>713</v>
      </c>
      <c r="C105" s="3" t="s">
        <v>714</v>
      </c>
      <c r="D105" s="3" t="s">
        <v>371</v>
      </c>
      <c r="E105" s="3" t="s">
        <v>715</v>
      </c>
      <c r="F105" s="3" t="s">
        <v>10</v>
      </c>
      <c r="G105" s="3" t="str">
        <f aca="false">IF(LEFT(D105,3)="09S",LEFT(D105,14),D105)</f>
        <v>NXH0HAL0018481E9B29501</v>
      </c>
      <c r="H105" s="9" t="str">
        <f aca="false">IF(COUNTIF(Conferência!$A$4:$A$336,F105)=0,"",IF(COUNTIFS(Conferência!$A$4:$A$336,F105,Conferência!$D$4:$D$336,G105)&gt;0,"Confere","Falta no Word"))</f>
        <v>Confere</v>
      </c>
      <c r="I105" s="3"/>
    </row>
    <row r="106" customFormat="false" ht="15" hidden="false" customHeight="false" outlineLevel="0" collapsed="false">
      <c r="A106" s="3" t="s">
        <v>712</v>
      </c>
      <c r="B106" s="3" t="s">
        <v>713</v>
      </c>
      <c r="C106" s="3" t="s">
        <v>714</v>
      </c>
      <c r="D106" s="3" t="s">
        <v>362</v>
      </c>
      <c r="E106" s="3" t="s">
        <v>715</v>
      </c>
      <c r="F106" s="3" t="s">
        <v>10</v>
      </c>
      <c r="G106" s="3" t="str">
        <f aca="false">IF(LEFT(D106,3)="09S",LEFT(D106,14),D106)</f>
        <v>NXH0HAL001832D65759501</v>
      </c>
      <c r="H106" s="9" t="str">
        <f aca="false">IF(COUNTIF(Conferência!$A$4:$A$336,F106)=0,"",IF(COUNTIFS(Conferência!$A$4:$A$336,F106,Conferência!$D$4:$D$336,G106)&gt;0,"Confere","Falta no Word"))</f>
        <v>Confere</v>
      </c>
      <c r="I106" s="3"/>
    </row>
    <row r="107" customFormat="false" ht="15" hidden="false" customHeight="false" outlineLevel="0" collapsed="false">
      <c r="A107" s="3" t="s">
        <v>712</v>
      </c>
      <c r="B107" s="3" t="s">
        <v>713</v>
      </c>
      <c r="C107" s="3" t="s">
        <v>714</v>
      </c>
      <c r="D107" s="3" t="s">
        <v>359</v>
      </c>
      <c r="E107" s="3" t="s">
        <v>715</v>
      </c>
      <c r="F107" s="3" t="s">
        <v>10</v>
      </c>
      <c r="G107" s="3" t="str">
        <f aca="false">IF(LEFT(D107,3)="09S",LEFT(D107,14),D107)</f>
        <v>NXH0HAL001832D66CA9501</v>
      </c>
      <c r="H107" s="9" t="str">
        <f aca="false">IF(COUNTIF(Conferência!$A$4:$A$336,F107)=0,"",IF(COUNTIFS(Conferência!$A$4:$A$336,F107,Conferência!$D$4:$D$336,G107)&gt;0,"Confere","Falta no Word"))</f>
        <v>Confere</v>
      </c>
      <c r="I107" s="3"/>
    </row>
    <row r="108" customFormat="false" ht="15" hidden="false" customHeight="false" outlineLevel="0" collapsed="false">
      <c r="A108" s="3" t="s">
        <v>712</v>
      </c>
      <c r="B108" s="3" t="s">
        <v>713</v>
      </c>
      <c r="C108" s="3" t="s">
        <v>714</v>
      </c>
      <c r="D108" s="3" t="s">
        <v>380</v>
      </c>
      <c r="E108" s="3" t="s">
        <v>715</v>
      </c>
      <c r="F108" s="3" t="s">
        <v>10</v>
      </c>
      <c r="G108" s="3" t="str">
        <f aca="false">IF(LEFT(D108,3)="09S",LEFT(D108,14),D108)</f>
        <v>NXH0HAL001832D5B9A9501</v>
      </c>
      <c r="H108" s="9" t="str">
        <f aca="false">IF(COUNTIF(Conferência!$A$4:$A$336,F108)=0,"",IF(COUNTIFS(Conferência!$A$4:$A$336,F108,Conferência!$D$4:$D$336,G108)&gt;0,"Confere","Falta no Word"))</f>
        <v>Confere</v>
      </c>
      <c r="I108" s="3"/>
    </row>
    <row r="109" customFormat="false" ht="15" hidden="false" customHeight="false" outlineLevel="0" collapsed="false">
      <c r="A109" s="3" t="s">
        <v>712</v>
      </c>
      <c r="B109" s="3" t="s">
        <v>713</v>
      </c>
      <c r="C109" s="3" t="s">
        <v>714</v>
      </c>
      <c r="D109" s="3" t="s">
        <v>350</v>
      </c>
      <c r="E109" s="3" t="s">
        <v>715</v>
      </c>
      <c r="F109" s="3" t="s">
        <v>9</v>
      </c>
      <c r="G109" s="3" t="str">
        <f aca="false">IF(LEFT(D109,3)="09S",LEFT(D109,14),D109)</f>
        <v>NXH0HAL001830D1F949501</v>
      </c>
      <c r="H109" s="9" t="str">
        <f aca="false">IF(COUNTIF(Conferência!$A$4:$A$336,F109)=0,"",IF(COUNTIFS(Conferência!$A$4:$A$336,F109,Conferência!$D$4:$D$336,G109)&gt;0,"Confere","Falta no Word"))</f>
        <v>Confere</v>
      </c>
      <c r="I109" s="3"/>
    </row>
    <row r="110" customFormat="false" ht="15" hidden="false" customHeight="false" outlineLevel="0" collapsed="false">
      <c r="A110" s="3" t="s">
        <v>712</v>
      </c>
      <c r="B110" s="3" t="s">
        <v>713</v>
      </c>
      <c r="C110" s="3" t="s">
        <v>714</v>
      </c>
      <c r="D110" s="3" t="s">
        <v>354</v>
      </c>
      <c r="E110" s="3" t="s">
        <v>715</v>
      </c>
      <c r="F110" s="3" t="s">
        <v>9</v>
      </c>
      <c r="G110" s="3" t="str">
        <f aca="false">IF(LEFT(D110,3)="09S",LEFT(D110,14),D110)</f>
        <v>NXH0HAL001832D65B89501</v>
      </c>
      <c r="H110" s="9" t="str">
        <f aca="false">IF(COUNTIF(Conferência!$A$4:$A$336,F110)=0,"",IF(COUNTIFS(Conferência!$A$4:$A$336,F110,Conferência!$D$4:$D$336,G110)&gt;0,"Confere","Falta no Word"))</f>
        <v>Confere</v>
      </c>
      <c r="I110" s="3"/>
    </row>
    <row r="111" customFormat="false" ht="15" hidden="false" customHeight="false" outlineLevel="0" collapsed="false">
      <c r="A111" s="3" t="s">
        <v>712</v>
      </c>
      <c r="B111" s="3" t="s">
        <v>713</v>
      </c>
      <c r="C111" s="3" t="s">
        <v>714</v>
      </c>
      <c r="D111" s="3" t="s">
        <v>338</v>
      </c>
      <c r="E111" s="3" t="s">
        <v>715</v>
      </c>
      <c r="F111" s="3" t="s">
        <v>9</v>
      </c>
      <c r="G111" s="3" t="str">
        <f aca="false">IF(LEFT(D111,3)="09S",LEFT(D111,14),D111)</f>
        <v>NXH0HAL001832D68A59501</v>
      </c>
      <c r="H111" s="9" t="str">
        <f aca="false">IF(COUNTIF(Conferência!$A$4:$A$336,F111)=0,"",IF(COUNTIFS(Conferência!$A$4:$A$336,F111,Conferência!$D$4:$D$336,G111)&gt;0,"Confere","Falta no Word"))</f>
        <v>Confere</v>
      </c>
      <c r="I111" s="3"/>
    </row>
    <row r="112" customFormat="false" ht="15" hidden="false" customHeight="false" outlineLevel="0" collapsed="false">
      <c r="A112" s="3" t="s">
        <v>712</v>
      </c>
      <c r="B112" s="3" t="s">
        <v>713</v>
      </c>
      <c r="C112" s="3" t="s">
        <v>714</v>
      </c>
      <c r="D112" s="3" t="s">
        <v>353</v>
      </c>
      <c r="E112" s="3" t="s">
        <v>715</v>
      </c>
      <c r="F112" s="3" t="s">
        <v>9</v>
      </c>
      <c r="G112" s="3" t="str">
        <f aca="false">IF(LEFT(D112,3)="09S",LEFT(D112,14),D112)</f>
        <v>NXH0HAL001830D1BEA9501</v>
      </c>
      <c r="H112" s="9" t="str">
        <f aca="false">IF(COUNTIF(Conferência!$A$4:$A$336,F112)=0,"",IF(COUNTIFS(Conferência!$A$4:$A$336,F112,Conferência!$D$4:$D$336,G112)&gt;0,"Confere","Falta no Word"))</f>
        <v>Confere</v>
      </c>
      <c r="I112" s="3"/>
    </row>
    <row r="113" customFormat="false" ht="15" hidden="false" customHeight="false" outlineLevel="0" collapsed="false">
      <c r="A113" s="3" t="s">
        <v>712</v>
      </c>
      <c r="B113" s="3" t="s">
        <v>713</v>
      </c>
      <c r="C113" s="3" t="s">
        <v>714</v>
      </c>
      <c r="D113" s="3" t="s">
        <v>348</v>
      </c>
      <c r="E113" s="3" t="s">
        <v>715</v>
      </c>
      <c r="F113" s="3" t="s">
        <v>9</v>
      </c>
      <c r="G113" s="3" t="str">
        <f aca="false">IF(LEFT(D113,3)="09S",LEFT(D113,14),D113)</f>
        <v>NXH0HAL001830D1F729501</v>
      </c>
      <c r="H113" s="9" t="str">
        <f aca="false">IF(COUNTIF(Conferência!$A$4:$A$336,F113)=0,"",IF(COUNTIFS(Conferência!$A$4:$A$336,F113,Conferência!$D$4:$D$336,G113)&gt;0,"Confere","Falta no Word"))</f>
        <v>Confere</v>
      </c>
      <c r="I113" s="3"/>
    </row>
    <row r="114" customFormat="false" ht="15" hidden="false" customHeight="false" outlineLevel="0" collapsed="false">
      <c r="A114" s="3" t="s">
        <v>712</v>
      </c>
      <c r="B114" s="3" t="s">
        <v>713</v>
      </c>
      <c r="C114" s="3" t="s">
        <v>714</v>
      </c>
      <c r="D114" s="3" t="s">
        <v>334</v>
      </c>
      <c r="E114" s="3" t="s">
        <v>715</v>
      </c>
      <c r="F114" s="3" t="s">
        <v>9</v>
      </c>
      <c r="G114" s="3" t="str">
        <f aca="false">IF(LEFT(D114,3)="09S",LEFT(D114,14),D114)</f>
        <v>NXH0HAL001832D65869501</v>
      </c>
      <c r="H114" s="9" t="str">
        <f aca="false">IF(COUNTIF(Conferência!$A$4:$A$336,F114)=0,"",IF(COUNTIFS(Conferência!$A$4:$A$336,F114,Conferência!$D$4:$D$336,G114)&gt;0,"Confere","Falta no Word"))</f>
        <v>Confere</v>
      </c>
      <c r="I114" s="3"/>
    </row>
    <row r="115" customFormat="false" ht="15" hidden="false" customHeight="false" outlineLevel="0" collapsed="false">
      <c r="A115" s="3" t="s">
        <v>712</v>
      </c>
      <c r="B115" s="3" t="s">
        <v>713</v>
      </c>
      <c r="C115" s="3" t="s">
        <v>714</v>
      </c>
      <c r="D115" s="3" t="s">
        <v>342</v>
      </c>
      <c r="E115" s="3" t="s">
        <v>715</v>
      </c>
      <c r="F115" s="3" t="s">
        <v>9</v>
      </c>
      <c r="G115" s="3" t="str">
        <f aca="false">IF(LEFT(D115,3)="09S",LEFT(D115,14),D115)</f>
        <v>NXH0HAL001832D65439501</v>
      </c>
      <c r="H115" s="9" t="str">
        <f aca="false">IF(COUNTIF(Conferência!$A$4:$A$336,F115)=0,"",IF(COUNTIFS(Conferência!$A$4:$A$336,F115,Conferência!$D$4:$D$336,G115)&gt;0,"Confere","Falta no Word"))</f>
        <v>Confere</v>
      </c>
      <c r="I115" s="3"/>
    </row>
    <row r="116" customFormat="false" ht="15" hidden="false" customHeight="false" outlineLevel="0" collapsed="false">
      <c r="A116" s="3" t="s">
        <v>712</v>
      </c>
      <c r="B116" s="3" t="s">
        <v>713</v>
      </c>
      <c r="C116" s="3" t="s">
        <v>714</v>
      </c>
      <c r="D116" s="3" t="s">
        <v>331</v>
      </c>
      <c r="E116" s="3" t="s">
        <v>715</v>
      </c>
      <c r="F116" s="3" t="s">
        <v>9</v>
      </c>
      <c r="G116" s="3" t="str">
        <f aca="false">IF(LEFT(D116,3)="09S",LEFT(D116,14),D116)</f>
        <v>NXH0HAL001832D659F9501</v>
      </c>
      <c r="H116" s="9" t="str">
        <f aca="false">IF(COUNTIF(Conferência!$A$4:$A$336,F116)=0,"",IF(COUNTIFS(Conferência!$A$4:$A$336,F116,Conferência!$D$4:$D$336,G116)&gt;0,"Confere","Falta no Word"))</f>
        <v>Confere</v>
      </c>
      <c r="I116" s="3"/>
    </row>
    <row r="117" customFormat="false" ht="15" hidden="false" customHeight="false" outlineLevel="0" collapsed="false">
      <c r="A117" s="3" t="s">
        <v>712</v>
      </c>
      <c r="B117" s="3" t="s">
        <v>713</v>
      </c>
      <c r="C117" s="3" t="s">
        <v>714</v>
      </c>
      <c r="D117" s="3" t="s">
        <v>344</v>
      </c>
      <c r="E117" s="3" t="s">
        <v>715</v>
      </c>
      <c r="F117" s="3" t="s">
        <v>9</v>
      </c>
      <c r="G117" s="3" t="str">
        <f aca="false">IF(LEFT(D117,3)="09S",LEFT(D117,14),D117)</f>
        <v>NXH0HAL001832D61879501</v>
      </c>
      <c r="H117" s="9" t="str">
        <f aca="false">IF(COUNTIF(Conferência!$A$4:$A$336,F117)=0,"",IF(COUNTIFS(Conferência!$A$4:$A$336,F117,Conferência!$D$4:$D$336,G117)&gt;0,"Confere","Falta no Word"))</f>
        <v>Confere</v>
      </c>
      <c r="I117" s="3"/>
    </row>
    <row r="118" customFormat="false" ht="15" hidden="false" customHeight="false" outlineLevel="0" collapsed="false">
      <c r="A118" s="3" t="s">
        <v>712</v>
      </c>
      <c r="B118" s="3" t="s">
        <v>713</v>
      </c>
      <c r="C118" s="3" t="s">
        <v>714</v>
      </c>
      <c r="D118" s="3" t="s">
        <v>83</v>
      </c>
      <c r="E118" s="3" t="s">
        <v>715</v>
      </c>
      <c r="F118" s="3" t="s">
        <v>9</v>
      </c>
      <c r="G118" s="3" t="str">
        <f aca="false">IF(LEFT(D118,3)="09S",LEFT(D118,14),D118)</f>
        <v>NXH0HAL001830D1FAB9501</v>
      </c>
      <c r="H118" s="9" t="str">
        <f aca="false">IF(COUNTIF(Conferência!$A$4:$A$336,F118)=0,"",IF(COUNTIFS(Conferência!$A$4:$A$336,F118,Conferência!$D$4:$D$336,G118)&gt;0,"Confere","Falta no Word"))</f>
        <v>Falta no Word</v>
      </c>
      <c r="I118" s="3" t="s">
        <v>741</v>
      </c>
    </row>
    <row r="119" customFormat="false" ht="15" hidden="false" customHeight="false" outlineLevel="0" collapsed="false">
      <c r="A119" s="3" t="s">
        <v>712</v>
      </c>
      <c r="B119" s="3" t="s">
        <v>713</v>
      </c>
      <c r="C119" s="3" t="s">
        <v>714</v>
      </c>
      <c r="D119" s="3" t="s">
        <v>335</v>
      </c>
      <c r="E119" s="3" t="s">
        <v>715</v>
      </c>
      <c r="F119" s="3" t="s">
        <v>9</v>
      </c>
      <c r="G119" s="3" t="str">
        <f aca="false">IF(LEFT(D119,3)="09S",LEFT(D119,14),D119)</f>
        <v>NXH0HAL001832D68659501</v>
      </c>
      <c r="H119" s="9" t="str">
        <f aca="false">IF(COUNTIF(Conferência!$A$4:$A$336,F119)=0,"",IF(COUNTIFS(Conferência!$A$4:$A$336,F119,Conferência!$D$4:$D$336,G119)&gt;0,"Confere","Falta no Word"))</f>
        <v>Confere</v>
      </c>
      <c r="I119" s="3"/>
    </row>
    <row r="120" customFormat="false" ht="15" hidden="false" customHeight="false" outlineLevel="0" collapsed="false">
      <c r="A120" s="3" t="s">
        <v>712</v>
      </c>
      <c r="B120" s="3" t="s">
        <v>713</v>
      </c>
      <c r="C120" s="3" t="s">
        <v>714</v>
      </c>
      <c r="D120" s="3" t="s">
        <v>337</v>
      </c>
      <c r="E120" s="3" t="s">
        <v>715</v>
      </c>
      <c r="F120" s="3" t="s">
        <v>9</v>
      </c>
      <c r="G120" s="3" t="str">
        <f aca="false">IF(LEFT(D120,3)="09S",LEFT(D120,14),D120)</f>
        <v>NXH0HAL001832D65E79501</v>
      </c>
      <c r="H120" s="9" t="str">
        <f aca="false">IF(COUNTIF(Conferência!$A$4:$A$336,F120)=0,"",IF(COUNTIFS(Conferência!$A$4:$A$336,F120,Conferência!$D$4:$D$336,G120)&gt;0,"Confere","Falta no Word"))</f>
        <v>Confere</v>
      </c>
      <c r="I120" s="3"/>
    </row>
    <row r="121" customFormat="false" ht="15" hidden="false" customHeight="false" outlineLevel="0" collapsed="false">
      <c r="A121" s="3" t="s">
        <v>712</v>
      </c>
      <c r="B121" s="3" t="s">
        <v>713</v>
      </c>
      <c r="C121" s="3" t="s">
        <v>714</v>
      </c>
      <c r="D121" s="3" t="s">
        <v>349</v>
      </c>
      <c r="E121" s="3" t="s">
        <v>715</v>
      </c>
      <c r="F121" s="3" t="s">
        <v>9</v>
      </c>
      <c r="G121" s="3" t="str">
        <f aca="false">IF(LEFT(D121,3)="09S",LEFT(D121,14),D121)</f>
        <v>NXH0HAL001830D1F749501</v>
      </c>
      <c r="H121" s="9" t="str">
        <f aca="false">IF(COUNTIF(Conferência!$A$4:$A$336,F121)=0,"",IF(COUNTIFS(Conferência!$A$4:$A$336,F121,Conferência!$D$4:$D$336,G121)&gt;0,"Confere","Falta no Word"))</f>
        <v>Confere</v>
      </c>
      <c r="I121" s="3"/>
    </row>
    <row r="122" customFormat="false" ht="15" hidden="false" customHeight="false" outlineLevel="0" collapsed="false">
      <c r="A122" s="3" t="s">
        <v>712</v>
      </c>
      <c r="B122" s="3" t="s">
        <v>713</v>
      </c>
      <c r="C122" s="3" t="s">
        <v>714</v>
      </c>
      <c r="D122" s="3" t="s">
        <v>327</v>
      </c>
      <c r="E122" s="3" t="s">
        <v>715</v>
      </c>
      <c r="F122" s="3" t="s">
        <v>9</v>
      </c>
      <c r="G122" s="3" t="str">
        <f aca="false">IF(LEFT(D122,3)="09S",LEFT(D122,14),D122)</f>
        <v>NXH0HAL001832D5BB39501</v>
      </c>
      <c r="H122" s="9" t="str">
        <f aca="false">IF(COUNTIF(Conferência!$A$4:$A$336,F122)=0,"",IF(COUNTIFS(Conferência!$A$4:$A$336,F122,Conferência!$D$4:$D$336,G122)&gt;0,"Confere","Falta no Word"))</f>
        <v>Confere</v>
      </c>
      <c r="I122" s="3"/>
    </row>
    <row r="123" customFormat="false" ht="15" hidden="false" customHeight="false" outlineLevel="0" collapsed="false">
      <c r="A123" s="3" t="s">
        <v>712</v>
      </c>
      <c r="B123" s="3" t="s">
        <v>713</v>
      </c>
      <c r="C123" s="3" t="s">
        <v>714</v>
      </c>
      <c r="D123" s="3" t="s">
        <v>62</v>
      </c>
      <c r="E123" s="3" t="s">
        <v>715</v>
      </c>
      <c r="F123" s="3" t="s">
        <v>9</v>
      </c>
      <c r="G123" s="3" t="str">
        <f aca="false">IF(LEFT(D123,3)="09S",LEFT(D123,14),D123)</f>
        <v>NXH0HAL001832D69D59501</v>
      </c>
      <c r="H123" s="9" t="str">
        <f aca="false">IF(COUNTIF(Conferência!$A$4:$A$336,F123)=0,"",IF(COUNTIFS(Conferência!$A$4:$A$336,F123,Conferência!$D$4:$D$336,G123)&gt;0,"Confere","Falta no Word"))</f>
        <v>Falta no Word</v>
      </c>
      <c r="I123" s="3" t="s">
        <v>742</v>
      </c>
    </row>
    <row r="124" customFormat="false" ht="15" hidden="false" customHeight="false" outlineLevel="0" collapsed="false">
      <c r="A124" s="3" t="s">
        <v>712</v>
      </c>
      <c r="B124" s="3" t="s">
        <v>713</v>
      </c>
      <c r="C124" s="3" t="s">
        <v>714</v>
      </c>
      <c r="D124" s="3" t="s">
        <v>332</v>
      </c>
      <c r="E124" s="3" t="s">
        <v>715</v>
      </c>
      <c r="F124" s="3" t="s">
        <v>9</v>
      </c>
      <c r="G124" s="3" t="str">
        <f aca="false">IF(LEFT(D124,3)="09S",LEFT(D124,14),D124)</f>
        <v>NXH0HAL001839ECE489501</v>
      </c>
      <c r="H124" s="9" t="str">
        <f aca="false">IF(COUNTIF(Conferência!$A$4:$A$336,F124)=0,"",IF(COUNTIFS(Conferência!$A$4:$A$336,F124,Conferência!$D$4:$D$336,G124)&gt;0,"Confere","Falta no Word"))</f>
        <v>Confere</v>
      </c>
      <c r="I124" s="3"/>
    </row>
    <row r="125" customFormat="false" ht="15" hidden="false" customHeight="false" outlineLevel="0" collapsed="false">
      <c r="A125" s="3" t="s">
        <v>712</v>
      </c>
      <c r="B125" s="3" t="s">
        <v>713</v>
      </c>
      <c r="C125" s="3" t="s">
        <v>714</v>
      </c>
      <c r="D125" s="3" t="s">
        <v>330</v>
      </c>
      <c r="E125" s="3" t="s">
        <v>715</v>
      </c>
      <c r="F125" s="3" t="s">
        <v>9</v>
      </c>
      <c r="G125" s="3" t="str">
        <f aca="false">IF(LEFT(D125,3)="09S",LEFT(D125,14),D125)</f>
        <v>NXH0HAL001832D60FE9501</v>
      </c>
      <c r="H125" s="9" t="str">
        <f aca="false">IF(COUNTIF(Conferência!$A$4:$A$336,F125)=0,"",IF(COUNTIFS(Conferência!$A$4:$A$336,F125,Conferência!$D$4:$D$336,G125)&gt;0,"Confere","Falta no Word"))</f>
        <v>Confere</v>
      </c>
      <c r="I125" s="3"/>
    </row>
    <row r="126" customFormat="false" ht="15" hidden="false" customHeight="false" outlineLevel="0" collapsed="false">
      <c r="A126" s="3" t="s">
        <v>712</v>
      </c>
      <c r="B126" s="3" t="s">
        <v>713</v>
      </c>
      <c r="C126" s="3" t="s">
        <v>714</v>
      </c>
      <c r="D126" s="3" t="s">
        <v>333</v>
      </c>
      <c r="E126" s="3" t="s">
        <v>715</v>
      </c>
      <c r="F126" s="3" t="s">
        <v>9</v>
      </c>
      <c r="G126" s="3" t="str">
        <f aca="false">IF(LEFT(D126,3)="09S",LEFT(D126,14),D126)</f>
        <v>NXH0HAL001832D69CD9501</v>
      </c>
      <c r="H126" s="9" t="str">
        <f aca="false">IF(COUNTIF(Conferência!$A$4:$A$336,F126)=0,"",IF(COUNTIFS(Conferência!$A$4:$A$336,F126,Conferência!$D$4:$D$336,G126)&gt;0,"Confere","Falta no Word"))</f>
        <v>Confere</v>
      </c>
      <c r="I126" s="3"/>
    </row>
    <row r="127" customFormat="false" ht="15" hidden="false" customHeight="false" outlineLevel="0" collapsed="false">
      <c r="A127" s="3" t="s">
        <v>712</v>
      </c>
      <c r="B127" s="3" t="s">
        <v>713</v>
      </c>
      <c r="C127" s="3" t="s">
        <v>714</v>
      </c>
      <c r="D127" s="3" t="s">
        <v>340</v>
      </c>
      <c r="E127" s="3" t="s">
        <v>715</v>
      </c>
      <c r="F127" s="3" t="s">
        <v>9</v>
      </c>
      <c r="G127" s="3" t="str">
        <f aca="false">IF(LEFT(D127,3)="09S",LEFT(D127,14),D127)</f>
        <v>NXH0HAL001838E766E9501</v>
      </c>
      <c r="H127" s="9" t="str">
        <f aca="false">IF(COUNTIF(Conferência!$A$4:$A$336,F127)=0,"",IF(COUNTIFS(Conferência!$A$4:$A$336,F127,Conferência!$D$4:$D$336,G127)&gt;0,"Confere","Falta no Word"))</f>
        <v>Confere</v>
      </c>
      <c r="I127" s="3"/>
    </row>
    <row r="128" customFormat="false" ht="15" hidden="false" customHeight="false" outlineLevel="0" collapsed="false">
      <c r="A128" s="3" t="s">
        <v>712</v>
      </c>
      <c r="B128" s="3" t="s">
        <v>713</v>
      </c>
      <c r="C128" s="3" t="s">
        <v>714</v>
      </c>
      <c r="D128" s="3" t="s">
        <v>341</v>
      </c>
      <c r="E128" s="3" t="s">
        <v>715</v>
      </c>
      <c r="F128" s="3" t="s">
        <v>9</v>
      </c>
      <c r="G128" s="3" t="str">
        <f aca="false">IF(LEFT(D128,3)="09S",LEFT(D128,14),D128)</f>
        <v>NXH0HAL001832D65BF9501</v>
      </c>
      <c r="H128" s="9" t="str">
        <f aca="false">IF(COUNTIF(Conferência!$A$4:$A$336,F128)=0,"",IF(COUNTIFS(Conferência!$A$4:$A$336,F128,Conferência!$D$4:$D$336,G128)&gt;0,"Confere","Falta no Word"))</f>
        <v>Confere</v>
      </c>
      <c r="I128" s="3"/>
    </row>
    <row r="129" customFormat="false" ht="15" hidden="false" customHeight="false" outlineLevel="0" collapsed="false">
      <c r="A129" s="3" t="s">
        <v>712</v>
      </c>
      <c r="B129" s="3" t="s">
        <v>713</v>
      </c>
      <c r="C129" s="3" t="s">
        <v>714</v>
      </c>
      <c r="D129" s="3" t="s">
        <v>351</v>
      </c>
      <c r="E129" s="3" t="s">
        <v>715</v>
      </c>
      <c r="F129" s="3" t="s">
        <v>9</v>
      </c>
      <c r="G129" s="3" t="str">
        <f aca="false">IF(LEFT(D129,3)="09S",LEFT(D129,14),D129)</f>
        <v>NXH0HAL001832D5B8F9501</v>
      </c>
      <c r="H129" s="9" t="str">
        <f aca="false">IF(COUNTIF(Conferência!$A$4:$A$336,F129)=0,"",IF(COUNTIFS(Conferência!$A$4:$A$336,F129,Conferência!$D$4:$D$336,G129)&gt;0,"Confere","Falta no Word"))</f>
        <v>Confere</v>
      </c>
      <c r="I129" s="3"/>
    </row>
    <row r="130" customFormat="false" ht="15" hidden="false" customHeight="false" outlineLevel="0" collapsed="false">
      <c r="A130" s="3" t="s">
        <v>712</v>
      </c>
      <c r="B130" s="3" t="s">
        <v>713</v>
      </c>
      <c r="C130" s="3" t="s">
        <v>714</v>
      </c>
      <c r="D130" s="3" t="s">
        <v>343</v>
      </c>
      <c r="E130" s="3" t="s">
        <v>715</v>
      </c>
      <c r="F130" s="3" t="s">
        <v>9</v>
      </c>
      <c r="G130" s="3" t="str">
        <f aca="false">IF(LEFT(D130,3)="09S",LEFT(D130,14),D130)</f>
        <v>NXH0HAL001832D58349501</v>
      </c>
      <c r="H130" s="9" t="str">
        <f aca="false">IF(COUNTIF(Conferência!$A$4:$A$336,F130)=0,"",IF(COUNTIFS(Conferência!$A$4:$A$336,F130,Conferência!$D$4:$D$336,G130)&gt;0,"Confere","Falta no Word"))</f>
        <v>Confere</v>
      </c>
      <c r="I130" s="3"/>
    </row>
    <row r="131" customFormat="false" ht="15" hidden="false" customHeight="false" outlineLevel="0" collapsed="false">
      <c r="A131" s="3" t="s">
        <v>712</v>
      </c>
      <c r="B131" s="3" t="s">
        <v>713</v>
      </c>
      <c r="C131" s="3" t="s">
        <v>714</v>
      </c>
      <c r="D131" s="3" t="s">
        <v>345</v>
      </c>
      <c r="E131" s="3" t="s">
        <v>715</v>
      </c>
      <c r="F131" s="3" t="s">
        <v>9</v>
      </c>
      <c r="G131" s="3" t="str">
        <f aca="false">IF(LEFT(D131,3)="09S",LEFT(D131,14),D131)</f>
        <v>NXH0HAL001830D20939501</v>
      </c>
      <c r="H131" s="9" t="str">
        <f aca="false">IF(COUNTIF(Conferência!$A$4:$A$336,F131)=0,"",IF(COUNTIFS(Conferência!$A$4:$A$336,F131,Conferência!$D$4:$D$336,G131)&gt;0,"Confere","Falta no Word"))</f>
        <v>Confere</v>
      </c>
      <c r="I131" s="3"/>
    </row>
    <row r="132" customFormat="false" ht="15" hidden="false" customHeight="false" outlineLevel="0" collapsed="false">
      <c r="A132" s="3" t="s">
        <v>712</v>
      </c>
      <c r="B132" s="3" t="s">
        <v>713</v>
      </c>
      <c r="C132" s="3" t="s">
        <v>714</v>
      </c>
      <c r="D132" s="3" t="s">
        <v>352</v>
      </c>
      <c r="E132" s="3" t="s">
        <v>715</v>
      </c>
      <c r="F132" s="3" t="s">
        <v>9</v>
      </c>
      <c r="G132" s="3" t="str">
        <f aca="false">IF(LEFT(D132,3)="09S",LEFT(D132,14),D132)</f>
        <v>NXH0HAL001832D687D9501</v>
      </c>
      <c r="H132" s="9" t="str">
        <f aca="false">IF(COUNTIF(Conferência!$A$4:$A$336,F132)=0,"",IF(COUNTIFS(Conferência!$A$4:$A$336,F132,Conferência!$D$4:$D$336,G132)&gt;0,"Confere","Falta no Word"))</f>
        <v>Confere</v>
      </c>
      <c r="I132" s="3"/>
    </row>
    <row r="133" customFormat="false" ht="15" hidden="false" customHeight="false" outlineLevel="0" collapsed="false">
      <c r="A133" s="3" t="s">
        <v>712</v>
      </c>
      <c r="B133" s="3" t="s">
        <v>713</v>
      </c>
      <c r="C133" s="3" t="s">
        <v>714</v>
      </c>
      <c r="D133" s="3" t="s">
        <v>355</v>
      </c>
      <c r="E133" s="3" t="s">
        <v>715</v>
      </c>
      <c r="F133" s="3" t="s">
        <v>9</v>
      </c>
      <c r="G133" s="3" t="str">
        <f aca="false">IF(LEFT(D133,3)="09S",LEFT(D133,14),D133)</f>
        <v>NXH0HAL0018481FB349501</v>
      </c>
      <c r="H133" s="9" t="str">
        <f aca="false">IF(COUNTIF(Conferência!$A$4:$A$336,F133)=0,"",IF(COUNTIFS(Conferência!$A$4:$A$336,F133,Conferência!$D$4:$D$336,G133)&gt;0,"Confere","Falta no Word"))</f>
        <v>Confere</v>
      </c>
      <c r="I133" s="3"/>
    </row>
    <row r="134" customFormat="false" ht="15" hidden="false" customHeight="false" outlineLevel="0" collapsed="false">
      <c r="A134" s="3" t="s">
        <v>712</v>
      </c>
      <c r="B134" s="3" t="s">
        <v>713</v>
      </c>
      <c r="C134" s="3" t="s">
        <v>714</v>
      </c>
      <c r="D134" s="3" t="s">
        <v>329</v>
      </c>
      <c r="E134" s="3" t="s">
        <v>715</v>
      </c>
      <c r="F134" s="3" t="s">
        <v>9</v>
      </c>
      <c r="G134" s="3" t="str">
        <f aca="false">IF(LEFT(D134,3)="09S",LEFT(D134,14),D134)</f>
        <v>NXH0HAL001832D69D19501</v>
      </c>
      <c r="H134" s="9" t="str">
        <f aca="false">IF(COUNTIF(Conferência!$A$4:$A$336,F134)=0,"",IF(COUNTIFS(Conferência!$A$4:$A$336,F134,Conferência!$D$4:$D$336,G134)&gt;0,"Confere","Falta no Word"))</f>
        <v>Confere</v>
      </c>
      <c r="I134" s="3"/>
    </row>
    <row r="135" customFormat="false" ht="15" hidden="false" customHeight="false" outlineLevel="0" collapsed="false">
      <c r="A135" s="3" t="s">
        <v>712</v>
      </c>
      <c r="B135" s="3" t="s">
        <v>713</v>
      </c>
      <c r="C135" s="3" t="s">
        <v>714</v>
      </c>
      <c r="D135" s="3" t="s">
        <v>346</v>
      </c>
      <c r="E135" s="3" t="s">
        <v>715</v>
      </c>
      <c r="F135" s="3" t="s">
        <v>9</v>
      </c>
      <c r="G135" s="3" t="str">
        <f aca="false">IF(LEFT(D135,3)="09S",LEFT(D135,14),D135)</f>
        <v>NXH0HAL001839ED5D19501</v>
      </c>
      <c r="H135" s="9" t="str">
        <f aca="false">IF(COUNTIF(Conferência!$A$4:$A$336,F135)=0,"",IF(COUNTIFS(Conferência!$A$4:$A$336,F135,Conferência!$D$4:$D$336,G135)&gt;0,"Confere","Falta no Word"))</f>
        <v>Confere</v>
      </c>
      <c r="I135" s="3"/>
    </row>
    <row r="136" customFormat="false" ht="15" hidden="false" customHeight="false" outlineLevel="0" collapsed="false">
      <c r="A136" s="3" t="s">
        <v>712</v>
      </c>
      <c r="B136" s="3" t="s">
        <v>713</v>
      </c>
      <c r="C136" s="3" t="s">
        <v>714</v>
      </c>
      <c r="D136" s="3" t="s">
        <v>336</v>
      </c>
      <c r="E136" s="3" t="s">
        <v>715</v>
      </c>
      <c r="F136" s="3" t="s">
        <v>9</v>
      </c>
      <c r="G136" s="3" t="str">
        <f aca="false">IF(LEFT(D136,3)="09S",LEFT(D136,14),D136)</f>
        <v>NXH0HAL001832D65DD9501</v>
      </c>
      <c r="H136" s="9" t="str">
        <f aca="false">IF(COUNTIF(Conferência!$A$4:$A$336,F136)=0,"",IF(COUNTIFS(Conferência!$A$4:$A$336,F136,Conferência!$D$4:$D$336,G136)&gt;0,"Confere","Falta no Word"))</f>
        <v>Confere</v>
      </c>
      <c r="I136" s="3"/>
    </row>
    <row r="137" customFormat="false" ht="15" hidden="false" customHeight="false" outlineLevel="0" collapsed="false">
      <c r="A137" s="3" t="s">
        <v>712</v>
      </c>
      <c r="B137" s="3" t="s">
        <v>713</v>
      </c>
      <c r="C137" s="3" t="s">
        <v>714</v>
      </c>
      <c r="D137" s="3" t="s">
        <v>57</v>
      </c>
      <c r="E137" s="3" t="s">
        <v>715</v>
      </c>
      <c r="F137" s="3" t="s">
        <v>9</v>
      </c>
      <c r="G137" s="3" t="str">
        <f aca="false">IF(LEFT(D137,3)="09S",LEFT(D137,14),D137)</f>
        <v>NXH0HAL001832D66639501</v>
      </c>
      <c r="H137" s="9" t="str">
        <f aca="false">IF(COUNTIF(Conferência!$A$4:$A$336,F137)=0,"",IF(COUNTIFS(Conferência!$A$4:$A$336,F137,Conferência!$D$4:$D$336,G137)&gt;0,"Confere","Falta no Word"))</f>
        <v>Falta no Word</v>
      </c>
      <c r="I137" s="3" t="s">
        <v>743</v>
      </c>
    </row>
    <row r="138" customFormat="false" ht="15" hidden="false" customHeight="false" outlineLevel="0" collapsed="false">
      <c r="A138" s="3" t="s">
        <v>712</v>
      </c>
      <c r="B138" s="3" t="s">
        <v>713</v>
      </c>
      <c r="C138" s="3" t="s">
        <v>714</v>
      </c>
      <c r="D138" s="3" t="s">
        <v>246</v>
      </c>
      <c r="E138" s="3" t="s">
        <v>715</v>
      </c>
      <c r="F138" s="3" t="s">
        <v>233</v>
      </c>
      <c r="G138" s="3" t="str">
        <f aca="false">IF(LEFT(D138,3)="09S",LEFT(D138,14),D138)</f>
        <v>NXH0HAL001838E738F9501</v>
      </c>
      <c r="H138" s="9" t="str">
        <f aca="false">IF(COUNTIF(Conferência!$A$4:$A$336,F138)=0,"",IF(COUNTIFS(Conferência!$A$4:$A$336,F138,Conferência!$D$4:$D$336,G138)&gt;0,"Confere","Falta no Word"))</f>
        <v/>
      </c>
      <c r="I138" s="3"/>
    </row>
    <row r="139" customFormat="false" ht="15" hidden="false" customHeight="false" outlineLevel="0" collapsed="false">
      <c r="A139" s="3" t="s">
        <v>712</v>
      </c>
      <c r="B139" s="3" t="s">
        <v>713</v>
      </c>
      <c r="C139" s="3" t="s">
        <v>714</v>
      </c>
      <c r="D139" s="3" t="s">
        <v>249</v>
      </c>
      <c r="E139" s="3" t="s">
        <v>715</v>
      </c>
      <c r="F139" s="3" t="s">
        <v>233</v>
      </c>
      <c r="G139" s="3" t="str">
        <f aca="false">IF(LEFT(D139,3)="09S",LEFT(D139,14),D139)</f>
        <v>NXH0HAL001832D6B3F9501</v>
      </c>
      <c r="H139" s="9" t="str">
        <f aca="false">IF(COUNTIF(Conferência!$A$4:$A$336,F139)=0,"",IF(COUNTIFS(Conferência!$A$4:$A$336,F139,Conferência!$D$4:$D$336,G139)&gt;0,"Confere","Falta no Word"))</f>
        <v/>
      </c>
      <c r="I139" s="3"/>
    </row>
    <row r="140" customFormat="false" ht="15" hidden="false" customHeight="false" outlineLevel="0" collapsed="false">
      <c r="A140" s="3" t="s">
        <v>712</v>
      </c>
      <c r="B140" s="3" t="s">
        <v>713</v>
      </c>
      <c r="C140" s="3" t="s">
        <v>717</v>
      </c>
      <c r="D140" s="3" t="s">
        <v>232</v>
      </c>
      <c r="E140" s="3" t="s">
        <v>715</v>
      </c>
      <c r="F140" s="3" t="s">
        <v>233</v>
      </c>
      <c r="G140" s="3" t="str">
        <f aca="false">IF(LEFT(D140,3)="09S",LEFT(D140,14),D140)</f>
        <v>09S29QAR110716</v>
      </c>
      <c r="H140" s="9" t="str">
        <f aca="false">IF(COUNTIF(Conferência!$A$4:$A$336,F140)=0,"",IF(COUNTIFS(Conferência!$A$4:$A$336,F140,Conferência!$D$4:$D$336,G140)&gt;0,"Confere","Falta no Word"))</f>
        <v/>
      </c>
      <c r="I140" s="3"/>
    </row>
    <row r="141" customFormat="false" ht="15" hidden="false" customHeight="false" outlineLevel="0" collapsed="false">
      <c r="A141" s="3" t="s">
        <v>712</v>
      </c>
      <c r="B141" s="3" t="s">
        <v>713</v>
      </c>
      <c r="C141" s="3" t="s">
        <v>714</v>
      </c>
      <c r="D141" s="3" t="s">
        <v>102</v>
      </c>
      <c r="E141" s="3" t="s">
        <v>715</v>
      </c>
      <c r="F141" s="3" t="s">
        <v>103</v>
      </c>
      <c r="G141" s="3" t="str">
        <f aca="false">IF(LEFT(D141,3)="09S",LEFT(D141,14),D141)</f>
        <v>NXH0HAL001838E68629501</v>
      </c>
      <c r="H141" s="9" t="str">
        <f aca="false">IF(COUNTIF(Conferência!$A$4:$A$336,F141)=0,"",IF(COUNTIFS(Conferência!$A$4:$A$336,F141,Conferência!$D$4:$D$336,G141)&gt;0,"Confere","Falta no Word"))</f>
        <v/>
      </c>
      <c r="I141" s="3"/>
    </row>
    <row r="142" customFormat="false" ht="15" hidden="false" customHeight="false" outlineLevel="0" collapsed="false">
      <c r="A142" s="3" t="s">
        <v>712</v>
      </c>
      <c r="B142" s="3" t="s">
        <v>713</v>
      </c>
      <c r="C142" s="3" t="s">
        <v>744</v>
      </c>
      <c r="D142" s="3" t="s">
        <v>390</v>
      </c>
      <c r="E142" s="3" t="s">
        <v>715</v>
      </c>
      <c r="F142" s="3" t="s">
        <v>11</v>
      </c>
      <c r="G142" s="3" t="str">
        <f aca="false">IF(LEFT(D142,3)="09S",LEFT(D142,14),D142)</f>
        <v>NXG54AL002749005CE7600</v>
      </c>
      <c r="H142" s="9" t="str">
        <f aca="false">IF(COUNTIF(Conferência!$A$4:$A$336,F142)=0,"",IF(COUNTIFS(Conferência!$A$4:$A$336,F142,Conferência!$D$4:$D$336,G142)&gt;0,"Confere","Falta no Word"))</f>
        <v>Confere</v>
      </c>
      <c r="I142" s="3"/>
    </row>
    <row r="143" customFormat="false" ht="15" hidden="false" customHeight="false" outlineLevel="0" collapsed="false">
      <c r="A143" s="3" t="s">
        <v>712</v>
      </c>
      <c r="B143" s="3" t="s">
        <v>713</v>
      </c>
      <c r="C143" s="3" t="s">
        <v>744</v>
      </c>
      <c r="D143" s="3" t="s">
        <v>67</v>
      </c>
      <c r="E143" s="3" t="s">
        <v>715</v>
      </c>
      <c r="F143" s="3" t="s">
        <v>11</v>
      </c>
      <c r="G143" s="3" t="str">
        <f aca="false">IF(LEFT(D143,3)="09S",LEFT(D143,14),D143)</f>
        <v>NXG54AL002748177F47600</v>
      </c>
      <c r="H143" s="9" t="str">
        <f aca="false">IF(COUNTIF(Conferência!$A$4:$A$336,F143)=0,"",IF(COUNTIFS(Conferência!$A$4:$A$336,F143,Conferência!$D$4:$D$336,G143)&gt;0,"Confere","Falta no Word"))</f>
        <v>Falta no Word</v>
      </c>
      <c r="I143" s="3" t="s">
        <v>745</v>
      </c>
    </row>
    <row r="144" customFormat="false" ht="15" hidden="false" customHeight="false" outlineLevel="0" collapsed="false">
      <c r="A144" s="3" t="s">
        <v>712</v>
      </c>
      <c r="B144" s="3" t="s">
        <v>713</v>
      </c>
      <c r="C144" s="3" t="s">
        <v>744</v>
      </c>
      <c r="D144" s="3" t="s">
        <v>394</v>
      </c>
      <c r="E144" s="3" t="s">
        <v>715</v>
      </c>
      <c r="F144" s="3" t="s">
        <v>11</v>
      </c>
      <c r="G144" s="3" t="str">
        <f aca="false">IF(LEFT(D144,3)="09S",LEFT(D144,14),D144)</f>
        <v>NXG54AL00274309EE47600</v>
      </c>
      <c r="H144" s="9" t="str">
        <f aca="false">IF(COUNTIF(Conferência!$A$4:$A$336,F144)=0,"",IF(COUNTIFS(Conferência!$A$4:$A$336,F144,Conferência!$D$4:$D$336,G144)&gt;0,"Confere","Falta no Word"))</f>
        <v>Confere</v>
      </c>
      <c r="I144" s="3"/>
    </row>
    <row r="145" customFormat="false" ht="15" hidden="false" customHeight="false" outlineLevel="0" collapsed="false">
      <c r="A145" s="3" t="s">
        <v>712</v>
      </c>
      <c r="B145" s="3" t="s">
        <v>713</v>
      </c>
      <c r="C145" s="3" t="s">
        <v>744</v>
      </c>
      <c r="D145" s="3" t="s">
        <v>384</v>
      </c>
      <c r="E145" s="3" t="s">
        <v>715</v>
      </c>
      <c r="F145" s="3" t="s">
        <v>11</v>
      </c>
      <c r="G145" s="3" t="str">
        <f aca="false">IF(LEFT(D145,3)="09S",LEFT(D145,14),D145)</f>
        <v>NXG54AL002749009B47600</v>
      </c>
      <c r="H145" s="9" t="str">
        <f aca="false">IF(COUNTIF(Conferência!$A$4:$A$336,F145)=0,"",IF(COUNTIFS(Conferência!$A$4:$A$336,F145,Conferência!$D$4:$D$336,G145)&gt;0,"Confere","Falta no Word"))</f>
        <v>Confere</v>
      </c>
      <c r="I145" s="3"/>
    </row>
    <row r="146" customFormat="false" ht="15" hidden="false" customHeight="false" outlineLevel="0" collapsed="false">
      <c r="A146" s="3" t="s">
        <v>712</v>
      </c>
      <c r="B146" s="3" t="s">
        <v>713</v>
      </c>
      <c r="C146" s="3" t="s">
        <v>744</v>
      </c>
      <c r="D146" s="3" t="s">
        <v>392</v>
      </c>
      <c r="E146" s="3" t="s">
        <v>715</v>
      </c>
      <c r="F146" s="3" t="s">
        <v>11</v>
      </c>
      <c r="G146" s="3" t="str">
        <f aca="false">IF(LEFT(D146,3)="09S",LEFT(D146,14),D146)</f>
        <v>NXG54AL002749008FB7600</v>
      </c>
      <c r="H146" s="9" t="str">
        <f aca="false">IF(COUNTIF(Conferência!$A$4:$A$336,F146)=0,"",IF(COUNTIFS(Conferência!$A$4:$A$336,F146,Conferência!$D$4:$D$336,G146)&gt;0,"Confere","Falta no Word"))</f>
        <v>Confere</v>
      </c>
      <c r="I146" s="3"/>
    </row>
    <row r="147" customFormat="false" ht="15" hidden="false" customHeight="false" outlineLevel="0" collapsed="false">
      <c r="A147" s="3" t="s">
        <v>712</v>
      </c>
      <c r="B147" s="3" t="s">
        <v>713</v>
      </c>
      <c r="C147" s="3" t="s">
        <v>744</v>
      </c>
      <c r="D147" s="3" t="s">
        <v>406</v>
      </c>
      <c r="E147" s="3" t="s">
        <v>715</v>
      </c>
      <c r="F147" s="3" t="s">
        <v>11</v>
      </c>
      <c r="G147" s="3" t="str">
        <f aca="false">IF(LEFT(D147,3)="09S",LEFT(D147,14),D147)</f>
        <v>NXG54AL00274817A6C7600</v>
      </c>
      <c r="H147" s="9" t="str">
        <f aca="false">IF(COUNTIF(Conferência!$A$4:$A$336,F147)=0,"",IF(COUNTIFS(Conferência!$A$4:$A$336,F147,Conferência!$D$4:$D$336,G147)&gt;0,"Confere","Falta no Word"))</f>
        <v>Confere</v>
      </c>
      <c r="I147" s="3"/>
    </row>
    <row r="148" customFormat="false" ht="15" hidden="false" customHeight="false" outlineLevel="0" collapsed="false">
      <c r="A148" s="3" t="s">
        <v>712</v>
      </c>
      <c r="B148" s="3" t="s">
        <v>713</v>
      </c>
      <c r="C148" s="3" t="s">
        <v>744</v>
      </c>
      <c r="D148" s="3" t="s">
        <v>398</v>
      </c>
      <c r="E148" s="3" t="s">
        <v>715</v>
      </c>
      <c r="F148" s="3" t="s">
        <v>11</v>
      </c>
      <c r="G148" s="3" t="str">
        <f aca="false">IF(LEFT(D148,3)="09S",LEFT(D148,14),D148)</f>
        <v>NXG54AL00274817A777600</v>
      </c>
      <c r="H148" s="9" t="str">
        <f aca="false">IF(COUNTIF(Conferência!$A$4:$A$336,F148)=0,"",IF(COUNTIFS(Conferência!$A$4:$A$336,F148,Conferência!$D$4:$D$336,G148)&gt;0,"Confere","Falta no Word"))</f>
        <v>Confere</v>
      </c>
      <c r="I148" s="3"/>
    </row>
    <row r="149" customFormat="false" ht="15" hidden="false" customHeight="false" outlineLevel="0" collapsed="false">
      <c r="A149" s="3" t="s">
        <v>712</v>
      </c>
      <c r="B149" s="3" t="s">
        <v>713</v>
      </c>
      <c r="C149" s="3" t="s">
        <v>744</v>
      </c>
      <c r="D149" s="3" t="s">
        <v>77</v>
      </c>
      <c r="E149" s="3" t="s">
        <v>715</v>
      </c>
      <c r="F149" s="3" t="s">
        <v>11</v>
      </c>
      <c r="G149" s="3" t="str">
        <f aca="false">IF(LEFT(D149,3)="09S",LEFT(D149,14),D149)</f>
        <v>NXG54AL0027430659B7600</v>
      </c>
      <c r="H149" s="9" t="str">
        <f aca="false">IF(COUNTIF(Conferência!$A$4:$A$336,F149)=0,"",IF(COUNTIFS(Conferência!$A$4:$A$336,F149,Conferência!$D$4:$D$336,G149)&gt;0,"Confere","Falta no Word"))</f>
        <v>Falta no Word</v>
      </c>
      <c r="I149" s="3" t="s">
        <v>746</v>
      </c>
    </row>
    <row r="150" customFormat="false" ht="15" hidden="false" customHeight="false" outlineLevel="0" collapsed="false">
      <c r="A150" s="3" t="s">
        <v>712</v>
      </c>
      <c r="B150" s="3" t="s">
        <v>713</v>
      </c>
      <c r="C150" s="3" t="s">
        <v>744</v>
      </c>
      <c r="D150" s="3" t="s">
        <v>403</v>
      </c>
      <c r="E150" s="3" t="s">
        <v>715</v>
      </c>
      <c r="F150" s="3" t="s">
        <v>11</v>
      </c>
      <c r="G150" s="3" t="str">
        <f aca="false">IF(LEFT(D150,3)="09S",LEFT(D150,14),D150)</f>
        <v>NXG54AL002749005F57600</v>
      </c>
      <c r="H150" s="9" t="str">
        <f aca="false">IF(COUNTIF(Conferência!$A$4:$A$336,F150)=0,"",IF(COUNTIFS(Conferência!$A$4:$A$336,F150,Conferência!$D$4:$D$336,G150)&gt;0,"Confere","Falta no Word"))</f>
        <v>Confere</v>
      </c>
      <c r="I150" s="3"/>
    </row>
    <row r="151" customFormat="false" ht="15" hidden="false" customHeight="false" outlineLevel="0" collapsed="false">
      <c r="A151" s="3" t="s">
        <v>712</v>
      </c>
      <c r="B151" s="3" t="s">
        <v>713</v>
      </c>
      <c r="C151" s="3" t="s">
        <v>744</v>
      </c>
      <c r="D151" s="3" t="s">
        <v>389</v>
      </c>
      <c r="E151" s="3" t="s">
        <v>715</v>
      </c>
      <c r="F151" s="3" t="s">
        <v>11</v>
      </c>
      <c r="G151" s="3" t="str">
        <f aca="false">IF(LEFT(D151,3)="09S",LEFT(D151,14),D151)</f>
        <v>NXG54AL0027430673A7600</v>
      </c>
      <c r="H151" s="9" t="str">
        <f aca="false">IF(COUNTIF(Conferência!$A$4:$A$336,F151)=0,"",IF(COUNTIFS(Conferência!$A$4:$A$336,F151,Conferência!$D$4:$D$336,G151)&gt;0,"Confere","Falta no Word"))</f>
        <v>Confere</v>
      </c>
      <c r="I151" s="3"/>
    </row>
    <row r="152" customFormat="false" ht="15" hidden="false" customHeight="false" outlineLevel="0" collapsed="false">
      <c r="A152" s="3" t="s">
        <v>712</v>
      </c>
      <c r="B152" s="3" t="s">
        <v>713</v>
      </c>
      <c r="C152" s="3" t="s">
        <v>744</v>
      </c>
      <c r="D152" s="3" t="s">
        <v>409</v>
      </c>
      <c r="E152" s="3" t="s">
        <v>715</v>
      </c>
      <c r="F152" s="3" t="s">
        <v>11</v>
      </c>
      <c r="G152" s="3" t="str">
        <f aca="false">IF(LEFT(D152,3)="09S",LEFT(D152,14),D152)</f>
        <v>NXG54AL002749056B37600</v>
      </c>
      <c r="H152" s="9" t="str">
        <f aca="false">IF(COUNTIF(Conferência!$A$4:$A$336,F152)=0,"",IF(COUNTIFS(Conferência!$A$4:$A$336,F152,Conferência!$D$4:$D$336,G152)&gt;0,"Confere","Falta no Word"))</f>
        <v>Confere</v>
      </c>
      <c r="I152" s="3"/>
    </row>
    <row r="153" customFormat="false" ht="15" hidden="false" customHeight="false" outlineLevel="0" collapsed="false">
      <c r="A153" s="3" t="s">
        <v>712</v>
      </c>
      <c r="B153" s="3" t="s">
        <v>713</v>
      </c>
      <c r="C153" s="3" t="s">
        <v>744</v>
      </c>
      <c r="D153" s="3" t="s">
        <v>411</v>
      </c>
      <c r="E153" s="3" t="s">
        <v>715</v>
      </c>
      <c r="F153" s="3" t="s">
        <v>11</v>
      </c>
      <c r="G153" s="3" t="str">
        <f aca="false">IF(LEFT(D153,3)="09S",LEFT(D153,14),D153)</f>
        <v>NXG54AL002749007507600</v>
      </c>
      <c r="H153" s="9" t="str">
        <f aca="false">IF(COUNTIF(Conferência!$A$4:$A$336,F153)=0,"",IF(COUNTIFS(Conferência!$A$4:$A$336,F153,Conferência!$D$4:$D$336,G153)&gt;0,"Confere","Falta no Word"))</f>
        <v>Confere</v>
      </c>
      <c r="I153" s="3"/>
    </row>
    <row r="154" customFormat="false" ht="15" hidden="false" customHeight="false" outlineLevel="0" collapsed="false">
      <c r="A154" s="3" t="s">
        <v>712</v>
      </c>
      <c r="B154" s="3" t="s">
        <v>713</v>
      </c>
      <c r="C154" s="3" t="s">
        <v>744</v>
      </c>
      <c r="D154" s="3" t="s">
        <v>385</v>
      </c>
      <c r="E154" s="3" t="s">
        <v>715</v>
      </c>
      <c r="F154" s="3" t="s">
        <v>11</v>
      </c>
      <c r="G154" s="3" t="str">
        <f aca="false">IF(LEFT(D154,3)="09S",LEFT(D154,14),D154)</f>
        <v>NXG54AL0027481765A7600</v>
      </c>
      <c r="H154" s="9" t="str">
        <f aca="false">IF(COUNTIF(Conferência!$A$4:$A$336,F154)=0,"",IF(COUNTIFS(Conferência!$A$4:$A$336,F154,Conferência!$D$4:$D$336,G154)&gt;0,"Confere","Falta no Word"))</f>
        <v>Confere</v>
      </c>
      <c r="I154" s="3"/>
    </row>
    <row r="155" customFormat="false" ht="15" hidden="false" customHeight="false" outlineLevel="0" collapsed="false">
      <c r="A155" s="3" t="s">
        <v>712</v>
      </c>
      <c r="B155" s="3" t="s">
        <v>713</v>
      </c>
      <c r="C155" s="3" t="s">
        <v>744</v>
      </c>
      <c r="D155" s="3" t="s">
        <v>407</v>
      </c>
      <c r="E155" s="3" t="s">
        <v>715</v>
      </c>
      <c r="F155" s="3" t="s">
        <v>11</v>
      </c>
      <c r="G155" s="3" t="str">
        <f aca="false">IF(LEFT(D155,3)="09S",LEFT(D155,14),D155)</f>
        <v>NXG54AL002743064D87600</v>
      </c>
      <c r="H155" s="9" t="str">
        <f aca="false">IF(COUNTIF(Conferência!$A$4:$A$336,F155)=0,"",IF(COUNTIFS(Conferência!$A$4:$A$336,F155,Conferência!$D$4:$D$336,G155)&gt;0,"Confere","Falta no Word"))</f>
        <v>Confere</v>
      </c>
      <c r="I155" s="3"/>
    </row>
    <row r="156" customFormat="false" ht="15" hidden="false" customHeight="false" outlineLevel="0" collapsed="false">
      <c r="A156" s="3" t="s">
        <v>712</v>
      </c>
      <c r="B156" s="3" t="s">
        <v>713</v>
      </c>
      <c r="C156" s="3" t="s">
        <v>744</v>
      </c>
      <c r="D156" s="3" t="s">
        <v>386</v>
      </c>
      <c r="E156" s="3" t="s">
        <v>715</v>
      </c>
      <c r="F156" s="3" t="s">
        <v>11</v>
      </c>
      <c r="G156" s="3" t="str">
        <f aca="false">IF(LEFT(D156,3)="09S",LEFT(D156,14),D156)</f>
        <v>NXG54AL002749008347600</v>
      </c>
      <c r="H156" s="9" t="str">
        <f aca="false">IF(COUNTIF(Conferência!$A$4:$A$336,F156)=0,"",IF(COUNTIFS(Conferência!$A$4:$A$336,F156,Conferência!$D$4:$D$336,G156)&gt;0,"Confere","Falta no Word"))</f>
        <v>Confere</v>
      </c>
      <c r="I156" s="3"/>
    </row>
    <row r="157" customFormat="false" ht="15" hidden="false" customHeight="false" outlineLevel="0" collapsed="false">
      <c r="A157" s="3" t="s">
        <v>712</v>
      </c>
      <c r="B157" s="3" t="s">
        <v>713</v>
      </c>
      <c r="C157" s="3" t="s">
        <v>744</v>
      </c>
      <c r="D157" s="3" t="s">
        <v>395</v>
      </c>
      <c r="E157" s="3" t="s">
        <v>715</v>
      </c>
      <c r="F157" s="3" t="s">
        <v>11</v>
      </c>
      <c r="G157" s="3" t="str">
        <f aca="false">IF(LEFT(D157,3)="09S",LEFT(D157,14),D157)</f>
        <v>NXG54AL002748179CB7600</v>
      </c>
      <c r="H157" s="9" t="str">
        <f aca="false">IF(COUNTIF(Conferência!$A$4:$A$336,F157)=0,"",IF(COUNTIFS(Conferência!$A$4:$A$336,F157,Conferência!$D$4:$D$336,G157)&gt;0,"Confere","Falta no Word"))</f>
        <v>Confere</v>
      </c>
      <c r="I157" s="3"/>
    </row>
    <row r="158" customFormat="false" ht="15" hidden="false" customHeight="false" outlineLevel="0" collapsed="false">
      <c r="A158" s="3" t="s">
        <v>712</v>
      </c>
      <c r="B158" s="3" t="s">
        <v>713</v>
      </c>
      <c r="C158" s="3" t="s">
        <v>744</v>
      </c>
      <c r="D158" s="3" t="s">
        <v>405</v>
      </c>
      <c r="E158" s="3" t="s">
        <v>715</v>
      </c>
      <c r="F158" s="3" t="s">
        <v>11</v>
      </c>
      <c r="G158" s="3" t="str">
        <f aca="false">IF(LEFT(D158,3)="09S",LEFT(D158,14),D158)</f>
        <v>NXG54AL002748178867600</v>
      </c>
      <c r="H158" s="9" t="str">
        <f aca="false">IF(COUNTIF(Conferência!$A$4:$A$336,F158)=0,"",IF(COUNTIFS(Conferência!$A$4:$A$336,F158,Conferência!$D$4:$D$336,G158)&gt;0,"Confere","Falta no Word"))</f>
        <v>Confere</v>
      </c>
      <c r="I158" s="3"/>
    </row>
    <row r="159" customFormat="false" ht="15" hidden="false" customHeight="false" outlineLevel="0" collapsed="false">
      <c r="A159" s="3" t="s">
        <v>712</v>
      </c>
      <c r="B159" s="3" t="s">
        <v>713</v>
      </c>
      <c r="C159" s="3" t="s">
        <v>744</v>
      </c>
      <c r="D159" s="3" t="s">
        <v>408</v>
      </c>
      <c r="E159" s="3" t="s">
        <v>715</v>
      </c>
      <c r="F159" s="3" t="s">
        <v>11</v>
      </c>
      <c r="G159" s="3" t="str">
        <f aca="false">IF(LEFT(D159,3)="09S",LEFT(D159,14),D159)</f>
        <v>NXG54AL0027430648F7600</v>
      </c>
      <c r="H159" s="9" t="str">
        <f aca="false">IF(COUNTIF(Conferência!$A$4:$A$336,F159)=0,"",IF(COUNTIFS(Conferência!$A$4:$A$336,F159,Conferência!$D$4:$D$336,G159)&gt;0,"Confere","Falta no Word"))</f>
        <v>Confere</v>
      </c>
      <c r="I159" s="3"/>
    </row>
    <row r="160" customFormat="false" ht="15" hidden="false" customHeight="false" outlineLevel="0" collapsed="false">
      <c r="A160" s="3" t="s">
        <v>712</v>
      </c>
      <c r="B160" s="3" t="s">
        <v>713</v>
      </c>
      <c r="C160" s="3" t="s">
        <v>744</v>
      </c>
      <c r="D160" s="3" t="s">
        <v>410</v>
      </c>
      <c r="E160" s="3" t="s">
        <v>715</v>
      </c>
      <c r="F160" s="3" t="s">
        <v>11</v>
      </c>
      <c r="G160" s="3" t="str">
        <f aca="false">IF(LEFT(D160,3)="09S",LEFT(D160,14),D160)</f>
        <v>NXG54AL002743067C47600</v>
      </c>
      <c r="H160" s="9" t="str">
        <f aca="false">IF(COUNTIF(Conferência!$A$4:$A$336,F160)=0,"",IF(COUNTIFS(Conferência!$A$4:$A$336,F160,Conferência!$D$4:$D$336,G160)&gt;0,"Confere","Falta no Word"))</f>
        <v>Confere</v>
      </c>
      <c r="I160" s="3"/>
    </row>
    <row r="161" customFormat="false" ht="15" hidden="false" customHeight="false" outlineLevel="0" collapsed="false">
      <c r="A161" s="3" t="s">
        <v>712</v>
      </c>
      <c r="B161" s="3" t="s">
        <v>713</v>
      </c>
      <c r="C161" s="3" t="s">
        <v>744</v>
      </c>
      <c r="D161" s="3" t="s">
        <v>388</v>
      </c>
      <c r="E161" s="3" t="s">
        <v>715</v>
      </c>
      <c r="F161" s="3" t="s">
        <v>11</v>
      </c>
      <c r="G161" s="3" t="str">
        <f aca="false">IF(LEFT(D161,3)="09S",LEFT(D161,14),D161)</f>
        <v>NXG54AL002749005BF7600</v>
      </c>
      <c r="H161" s="9" t="str">
        <f aca="false">IF(COUNTIF(Conferência!$A$4:$A$336,F161)=0,"",IF(COUNTIFS(Conferência!$A$4:$A$336,F161,Conferência!$D$4:$D$336,G161)&gt;0,"Confere","Falta no Word"))</f>
        <v>Confere</v>
      </c>
      <c r="I161" s="3"/>
    </row>
    <row r="162" customFormat="false" ht="15" hidden="false" customHeight="false" outlineLevel="0" collapsed="false">
      <c r="A162" s="3" t="s">
        <v>712</v>
      </c>
      <c r="B162" s="3" t="s">
        <v>713</v>
      </c>
      <c r="C162" s="3" t="s">
        <v>744</v>
      </c>
      <c r="D162" s="3" t="s">
        <v>74</v>
      </c>
      <c r="E162" s="3" t="s">
        <v>715</v>
      </c>
      <c r="F162" s="3" t="s">
        <v>11</v>
      </c>
      <c r="G162" s="3" t="str">
        <f aca="false">IF(LEFT(D162,3)="09S",LEFT(D162,14),D162)</f>
        <v>NXG54AL00274817ADF7600</v>
      </c>
      <c r="H162" s="9" t="str">
        <f aca="false">IF(COUNTIF(Conferência!$A$4:$A$336,F162)=0,"",IF(COUNTIFS(Conferência!$A$4:$A$336,F162,Conferência!$D$4:$D$336,G162)&gt;0,"Confere","Falta no Word"))</f>
        <v>Falta no Word</v>
      </c>
      <c r="I162" s="3" t="s">
        <v>746</v>
      </c>
    </row>
    <row r="163" customFormat="false" ht="15" hidden="false" customHeight="false" outlineLevel="0" collapsed="false">
      <c r="A163" s="3" t="s">
        <v>712</v>
      </c>
      <c r="B163" s="3" t="s">
        <v>713</v>
      </c>
      <c r="C163" s="3" t="s">
        <v>744</v>
      </c>
      <c r="D163" s="3" t="s">
        <v>399</v>
      </c>
      <c r="E163" s="3" t="s">
        <v>715</v>
      </c>
      <c r="F163" s="3" t="s">
        <v>11</v>
      </c>
      <c r="G163" s="3" t="str">
        <f aca="false">IF(LEFT(D163,3)="09S",LEFT(D163,14),D163)</f>
        <v>NXG54AL00274309FD77600</v>
      </c>
      <c r="H163" s="9" t="str">
        <f aca="false">IF(COUNTIF(Conferência!$A$4:$A$336,F163)=0,"",IF(COUNTIFS(Conferência!$A$4:$A$336,F163,Conferência!$D$4:$D$336,G163)&gt;0,"Confere","Falta no Word"))</f>
        <v>Confere</v>
      </c>
      <c r="I163" s="3"/>
    </row>
    <row r="164" customFormat="false" ht="15" hidden="false" customHeight="false" outlineLevel="0" collapsed="false">
      <c r="A164" s="3" t="s">
        <v>712</v>
      </c>
      <c r="B164" s="3" t="s">
        <v>713</v>
      </c>
      <c r="C164" s="3" t="s">
        <v>744</v>
      </c>
      <c r="D164" s="3" t="s">
        <v>412</v>
      </c>
      <c r="E164" s="3" t="s">
        <v>715</v>
      </c>
      <c r="F164" s="3" t="s">
        <v>11</v>
      </c>
      <c r="G164" s="3" t="str">
        <f aca="false">IF(LEFT(D164,3)="09S",LEFT(D164,14),D164)</f>
        <v>NXG54AL002743065F17600</v>
      </c>
      <c r="H164" s="9" t="str">
        <f aca="false">IF(COUNTIF(Conferência!$A$4:$A$336,F164)=0,"",IF(COUNTIFS(Conferência!$A$4:$A$336,F164,Conferência!$D$4:$D$336,G164)&gt;0,"Confere","Falta no Word"))</f>
        <v>Confere</v>
      </c>
      <c r="I164" s="3"/>
    </row>
    <row r="165" customFormat="false" ht="15" hidden="false" customHeight="false" outlineLevel="0" collapsed="false">
      <c r="A165" s="3" t="s">
        <v>712</v>
      </c>
      <c r="B165" s="3" t="s">
        <v>713</v>
      </c>
      <c r="C165" s="3" t="s">
        <v>744</v>
      </c>
      <c r="D165" s="3" t="s">
        <v>402</v>
      </c>
      <c r="E165" s="3" t="s">
        <v>715</v>
      </c>
      <c r="F165" s="3" t="s">
        <v>11</v>
      </c>
      <c r="G165" s="3" t="str">
        <f aca="false">IF(LEFT(D165,3)="09S",LEFT(D165,14),D165)</f>
        <v>NXG54AL002749009BD7600</v>
      </c>
      <c r="H165" s="9" t="str">
        <f aca="false">IF(COUNTIF(Conferência!$A$4:$A$336,F165)=0,"",IF(COUNTIFS(Conferência!$A$4:$A$336,F165,Conferência!$D$4:$D$336,G165)&gt;0,"Confere","Falta no Word"))</f>
        <v>Confere</v>
      </c>
      <c r="I165" s="3"/>
    </row>
    <row r="166" customFormat="false" ht="15" hidden="false" customHeight="false" outlineLevel="0" collapsed="false">
      <c r="A166" s="3" t="s">
        <v>712</v>
      </c>
      <c r="B166" s="3" t="s">
        <v>713</v>
      </c>
      <c r="C166" s="3" t="s">
        <v>744</v>
      </c>
      <c r="D166" s="3" t="s">
        <v>393</v>
      </c>
      <c r="E166" s="3" t="s">
        <v>715</v>
      </c>
      <c r="F166" s="3" t="s">
        <v>11</v>
      </c>
      <c r="G166" s="3" t="str">
        <f aca="false">IF(LEFT(D166,3)="09S",LEFT(D166,14),D166)</f>
        <v>NXG54AL00274817AC17600</v>
      </c>
      <c r="H166" s="9" t="str">
        <f aca="false">IF(COUNTIF(Conferência!$A$4:$A$336,F166)=0,"",IF(COUNTIFS(Conferência!$A$4:$A$336,F166,Conferência!$D$4:$D$336,G166)&gt;0,"Confere","Falta no Word"))</f>
        <v>Confere</v>
      </c>
      <c r="I166" s="3"/>
    </row>
    <row r="167" customFormat="false" ht="15" hidden="false" customHeight="false" outlineLevel="0" collapsed="false">
      <c r="A167" s="3" t="s">
        <v>712</v>
      </c>
      <c r="B167" s="3" t="s">
        <v>713</v>
      </c>
      <c r="C167" s="3" t="s">
        <v>744</v>
      </c>
      <c r="D167" s="3" t="s">
        <v>400</v>
      </c>
      <c r="E167" s="3" t="s">
        <v>715</v>
      </c>
      <c r="F167" s="3" t="s">
        <v>11</v>
      </c>
      <c r="G167" s="3" t="str">
        <f aca="false">IF(LEFT(D167,3)="09S",LEFT(D167,14),D167)</f>
        <v>NXG54AL0027430A1067600</v>
      </c>
      <c r="H167" s="9" t="str">
        <f aca="false">IF(COUNTIF(Conferência!$A$4:$A$336,F167)=0,"",IF(COUNTIFS(Conferência!$A$4:$A$336,F167,Conferência!$D$4:$D$336,G167)&gt;0,"Confere","Falta no Word"))</f>
        <v>Confere</v>
      </c>
      <c r="I167" s="3"/>
    </row>
    <row r="168" customFormat="false" ht="15" hidden="false" customHeight="false" outlineLevel="0" collapsed="false">
      <c r="A168" s="3" t="s">
        <v>712</v>
      </c>
      <c r="B168" s="3" t="s">
        <v>713</v>
      </c>
      <c r="C168" s="3" t="s">
        <v>744</v>
      </c>
      <c r="D168" s="3" t="s">
        <v>387</v>
      </c>
      <c r="E168" s="3" t="s">
        <v>715</v>
      </c>
      <c r="F168" s="3" t="s">
        <v>11</v>
      </c>
      <c r="G168" s="3" t="str">
        <f aca="false">IF(LEFT(D168,3)="09S",LEFT(D168,14),D168)</f>
        <v>NXG54AL0027430A0E07600</v>
      </c>
      <c r="H168" s="9" t="str">
        <f aca="false">IF(COUNTIF(Conferência!$A$4:$A$336,F168)=0,"",IF(COUNTIFS(Conferência!$A$4:$A$336,F168,Conferência!$D$4:$D$336,G168)&gt;0,"Confere","Falta no Word"))</f>
        <v>Confere</v>
      </c>
      <c r="I168" s="3"/>
    </row>
    <row r="169" customFormat="false" ht="15" hidden="false" customHeight="false" outlineLevel="0" collapsed="false">
      <c r="A169" s="3" t="s">
        <v>712</v>
      </c>
      <c r="B169" s="3" t="s">
        <v>713</v>
      </c>
      <c r="C169" s="3" t="s">
        <v>720</v>
      </c>
      <c r="D169" s="3" t="s">
        <v>79</v>
      </c>
      <c r="E169" s="3" t="s">
        <v>715</v>
      </c>
      <c r="F169" s="3" t="s">
        <v>11</v>
      </c>
      <c r="G169" s="3" t="str">
        <f aca="false">IF(LEFT(D169,3)="09S",LEFT(D169,14),D169)</f>
        <v>09S29QBR711970</v>
      </c>
      <c r="H169" s="9" t="str">
        <f aca="false">IF(COUNTIF(Conferência!$A$4:$A$336,F169)=0,"",IF(COUNTIFS(Conferência!$A$4:$A$336,F169,Conferência!$D$4:$D$336,G169)&gt;0,"Confere","Falta no Word"))</f>
        <v>Falta no Word</v>
      </c>
      <c r="I169" s="3" t="s">
        <v>747</v>
      </c>
    </row>
    <row r="170" customFormat="false" ht="15" hidden="false" customHeight="false" outlineLevel="0" collapsed="false">
      <c r="A170" s="3" t="s">
        <v>712</v>
      </c>
      <c r="B170" s="3" t="s">
        <v>748</v>
      </c>
      <c r="C170" s="3" t="s">
        <v>749</v>
      </c>
      <c r="D170" s="3" t="s">
        <v>750</v>
      </c>
      <c r="E170" s="3" t="s">
        <v>715</v>
      </c>
      <c r="F170" s="3" t="s">
        <v>751</v>
      </c>
      <c r="G170" s="3" t="str">
        <f aca="false">IF(LEFT(D170,3)="09S",LEFT(D170,14),D170)</f>
        <v>G0B18W08210400GP</v>
      </c>
      <c r="H170" s="9" t="str">
        <f aca="false">IF(COUNTIF(Conferência!$A$4:$A$336,F170)=0,"",IF(COUNTIFS(Conferência!$A$4:$A$336,F170,Conferência!$D$4:$D$336,G170)&gt;0,"Confere","Falta no Word"))</f>
        <v/>
      </c>
      <c r="I170" s="3"/>
    </row>
    <row r="171" customFormat="false" ht="15" hidden="false" customHeight="false" outlineLevel="0" collapsed="false">
      <c r="A171" s="3" t="s">
        <v>712</v>
      </c>
      <c r="B171" s="3" t="s">
        <v>752</v>
      </c>
      <c r="C171" s="3" t="s">
        <v>753</v>
      </c>
      <c r="D171" s="3" t="s">
        <v>754</v>
      </c>
      <c r="E171" s="3" t="s">
        <v>715</v>
      </c>
      <c r="F171" s="3" t="s">
        <v>755</v>
      </c>
      <c r="G171" s="3" t="str">
        <f aca="false">IF(LEFT(D171,3)="09S",LEFT(D171,14),D171)</f>
        <v>687030901716</v>
      </c>
      <c r="H171" s="9" t="str">
        <f aca="false">IF(COUNTIF(Conferência!$A$4:$A$336,F171)=0,"",IF(COUNTIFS(Conferência!$A$4:$A$336,F171,Conferência!$D$4:$D$336,G171)&gt;0,"Confere","Falta no Word"))</f>
        <v/>
      </c>
      <c r="I171" s="3"/>
    </row>
    <row r="172" customFormat="false" ht="15" hidden="false" customHeight="false" outlineLevel="0" collapsed="false">
      <c r="A172" s="3" t="s">
        <v>712</v>
      </c>
      <c r="B172" s="3" t="s">
        <v>752</v>
      </c>
      <c r="C172" s="3" t="s">
        <v>753</v>
      </c>
      <c r="D172" s="3" t="s">
        <v>756</v>
      </c>
      <c r="E172" s="3" t="s">
        <v>715</v>
      </c>
      <c r="F172" s="3" t="s">
        <v>755</v>
      </c>
      <c r="G172" s="3" t="str">
        <f aca="false">IF(LEFT(D172,3)="09S",LEFT(D172,14),D172)</f>
        <v>687030901422</v>
      </c>
      <c r="H172" s="9" t="str">
        <f aca="false">IF(COUNTIF(Conferência!$A$4:$A$336,F172)=0,"",IF(COUNTIFS(Conferência!$A$4:$A$336,F172,Conferência!$D$4:$D$336,G172)&gt;0,"Confere","Falta no Word"))</f>
        <v/>
      </c>
      <c r="I172" s="3"/>
    </row>
    <row r="173" customFormat="false" ht="15" hidden="false" customHeight="false" outlineLevel="0" collapsed="false">
      <c r="A173" s="3" t="s">
        <v>712</v>
      </c>
      <c r="B173" s="3" t="s">
        <v>752</v>
      </c>
      <c r="C173" s="3" t="s">
        <v>753</v>
      </c>
      <c r="D173" s="3" t="s">
        <v>757</v>
      </c>
      <c r="E173" s="3" t="s">
        <v>715</v>
      </c>
      <c r="F173" s="3" t="s">
        <v>755</v>
      </c>
      <c r="G173" s="3" t="str">
        <f aca="false">IF(LEFT(D173,3)="09S",LEFT(D173,14),D173)</f>
        <v>687030901558</v>
      </c>
      <c r="H173" s="9" t="str">
        <f aca="false">IF(COUNTIF(Conferência!$A$4:$A$336,F173)=0,"",IF(COUNTIFS(Conferência!$A$4:$A$336,F173,Conferência!$D$4:$D$336,G173)&gt;0,"Confere","Falta no Word"))</f>
        <v/>
      </c>
      <c r="I173" s="3"/>
    </row>
    <row r="174" customFormat="false" ht="15" hidden="false" customHeight="false" outlineLevel="0" collapsed="false">
      <c r="A174" s="3" t="s">
        <v>712</v>
      </c>
      <c r="B174" s="3" t="s">
        <v>752</v>
      </c>
      <c r="C174" s="3" t="s">
        <v>753</v>
      </c>
      <c r="D174" s="3" t="s">
        <v>758</v>
      </c>
      <c r="E174" s="3" t="s">
        <v>715</v>
      </c>
      <c r="F174" s="3" t="s">
        <v>755</v>
      </c>
      <c r="G174" s="3" t="str">
        <f aca="false">IF(LEFT(D174,3)="09S",LEFT(D174,14),D174)</f>
        <v>687030901674</v>
      </c>
      <c r="H174" s="9" t="str">
        <f aca="false">IF(COUNTIF(Conferência!$A$4:$A$336,F174)=0,"",IF(COUNTIFS(Conferência!$A$4:$A$336,F174,Conferência!$D$4:$D$336,G174)&gt;0,"Confere","Falta no Word"))</f>
        <v/>
      </c>
      <c r="I174" s="3"/>
    </row>
    <row r="175" customFormat="false" ht="15" hidden="false" customHeight="false" outlineLevel="0" collapsed="false">
      <c r="A175" s="3" t="s">
        <v>712</v>
      </c>
      <c r="B175" s="3" t="s">
        <v>752</v>
      </c>
      <c r="C175" s="3" t="s">
        <v>753</v>
      </c>
      <c r="D175" s="3" t="s">
        <v>759</v>
      </c>
      <c r="E175" s="3" t="s">
        <v>715</v>
      </c>
      <c r="F175" s="3" t="s">
        <v>755</v>
      </c>
      <c r="G175" s="3" t="str">
        <f aca="false">IF(LEFT(D175,3)="09S",LEFT(D175,14),D175)</f>
        <v>687030901734</v>
      </c>
      <c r="H175" s="9" t="str">
        <f aca="false">IF(COUNTIF(Conferência!$A$4:$A$336,F175)=0,"",IF(COUNTIFS(Conferência!$A$4:$A$336,F175,Conferência!$D$4:$D$336,G175)&gt;0,"Confere","Falta no Word"))</f>
        <v/>
      </c>
      <c r="I175" s="3"/>
    </row>
    <row r="176" customFormat="false" ht="15" hidden="false" customHeight="false" outlineLevel="0" collapsed="false">
      <c r="A176" s="3" t="s">
        <v>712</v>
      </c>
      <c r="B176" s="3" t="s">
        <v>752</v>
      </c>
      <c r="C176" s="3" t="s">
        <v>753</v>
      </c>
      <c r="D176" s="3" t="s">
        <v>760</v>
      </c>
      <c r="E176" s="3" t="s">
        <v>715</v>
      </c>
      <c r="F176" s="3" t="s">
        <v>755</v>
      </c>
      <c r="G176" s="3" t="str">
        <f aca="false">IF(LEFT(D176,3)="09S",LEFT(D176,14),D176)</f>
        <v>687030901301</v>
      </c>
      <c r="H176" s="9" t="str">
        <f aca="false">IF(COUNTIF(Conferência!$A$4:$A$336,F176)=0,"",IF(COUNTIFS(Conferência!$A$4:$A$336,F176,Conferência!$D$4:$D$336,G176)&gt;0,"Confere","Falta no Word"))</f>
        <v/>
      </c>
      <c r="I176" s="3"/>
    </row>
    <row r="177" customFormat="false" ht="15" hidden="false" customHeight="false" outlineLevel="0" collapsed="false">
      <c r="A177" s="3" t="s">
        <v>712</v>
      </c>
      <c r="B177" s="3" t="s">
        <v>752</v>
      </c>
      <c r="C177" s="3" t="s">
        <v>753</v>
      </c>
      <c r="D177" s="3" t="s">
        <v>761</v>
      </c>
      <c r="E177" s="3" t="s">
        <v>715</v>
      </c>
      <c r="F177" s="3" t="s">
        <v>755</v>
      </c>
      <c r="G177" s="3" t="str">
        <f aca="false">IF(LEFT(D177,3)="09S",LEFT(D177,14),D177)</f>
        <v>687030901327</v>
      </c>
      <c r="H177" s="9" t="str">
        <f aca="false">IF(COUNTIF(Conferência!$A$4:$A$336,F177)=0,"",IF(COUNTIFS(Conferência!$A$4:$A$336,F177,Conferência!$D$4:$D$336,G177)&gt;0,"Confere","Falta no Word"))</f>
        <v/>
      </c>
      <c r="I177" s="3"/>
    </row>
    <row r="178" customFormat="false" ht="15" hidden="false" customHeight="false" outlineLevel="0" collapsed="false">
      <c r="A178" s="3" t="s">
        <v>712</v>
      </c>
      <c r="B178" s="3" t="s">
        <v>752</v>
      </c>
      <c r="C178" s="3" t="s">
        <v>753</v>
      </c>
      <c r="D178" s="3" t="s">
        <v>762</v>
      </c>
      <c r="E178" s="3" t="s">
        <v>715</v>
      </c>
      <c r="F178" s="3" t="s">
        <v>755</v>
      </c>
      <c r="G178" s="3" t="str">
        <f aca="false">IF(LEFT(D178,3)="09S",LEFT(D178,14),D178)</f>
        <v>687030901426</v>
      </c>
      <c r="H178" s="9" t="str">
        <f aca="false">IF(COUNTIF(Conferência!$A$4:$A$336,F178)=0,"",IF(COUNTIFS(Conferência!$A$4:$A$336,F178,Conferência!$D$4:$D$336,G178)&gt;0,"Confere","Falta no Word"))</f>
        <v/>
      </c>
      <c r="I178" s="3"/>
    </row>
    <row r="179" customFormat="false" ht="15" hidden="false" customHeight="false" outlineLevel="0" collapsed="false">
      <c r="A179" s="3" t="s">
        <v>712</v>
      </c>
      <c r="B179" s="3" t="s">
        <v>752</v>
      </c>
      <c r="C179" s="3" t="s">
        <v>753</v>
      </c>
      <c r="D179" s="3" t="s">
        <v>763</v>
      </c>
      <c r="E179" s="3" t="s">
        <v>715</v>
      </c>
      <c r="F179" s="3" t="s">
        <v>755</v>
      </c>
      <c r="G179" s="3" t="str">
        <f aca="false">IF(LEFT(D179,3)="09S",LEFT(D179,14),D179)</f>
        <v>687030901416</v>
      </c>
      <c r="H179" s="9" t="str">
        <f aca="false">IF(COUNTIF(Conferência!$A$4:$A$336,F179)=0,"",IF(COUNTIFS(Conferência!$A$4:$A$336,F179,Conferência!$D$4:$D$336,G179)&gt;0,"Confere","Falta no Word"))</f>
        <v/>
      </c>
      <c r="I179" s="3"/>
    </row>
    <row r="180" customFormat="false" ht="15" hidden="false" customHeight="false" outlineLevel="0" collapsed="false">
      <c r="A180" s="3" t="s">
        <v>712</v>
      </c>
      <c r="B180" s="3" t="s">
        <v>752</v>
      </c>
      <c r="C180" s="3" t="s">
        <v>753</v>
      </c>
      <c r="D180" s="3" t="s">
        <v>764</v>
      </c>
      <c r="E180" s="3" t="s">
        <v>715</v>
      </c>
      <c r="F180" s="3" t="s">
        <v>755</v>
      </c>
      <c r="G180" s="3" t="str">
        <f aca="false">IF(LEFT(D180,3)="09S",LEFT(D180,14),D180)</f>
        <v>687030901503</v>
      </c>
      <c r="H180" s="9" t="str">
        <f aca="false">IF(COUNTIF(Conferência!$A$4:$A$336,F180)=0,"",IF(COUNTIFS(Conferência!$A$4:$A$336,F180,Conferência!$D$4:$D$336,G180)&gt;0,"Confere","Falta no Word"))</f>
        <v/>
      </c>
      <c r="I180" s="3"/>
    </row>
    <row r="181" customFormat="false" ht="15" hidden="false" customHeight="false" outlineLevel="0" collapsed="false">
      <c r="A181" s="3" t="s">
        <v>712</v>
      </c>
      <c r="B181" s="3" t="s">
        <v>752</v>
      </c>
      <c r="C181" s="3" t="s">
        <v>753</v>
      </c>
      <c r="D181" s="3" t="s">
        <v>765</v>
      </c>
      <c r="E181" s="3" t="s">
        <v>715</v>
      </c>
      <c r="F181" s="3" t="s">
        <v>755</v>
      </c>
      <c r="G181" s="3" t="str">
        <f aca="false">IF(LEFT(D181,3)="09S",LEFT(D181,14),D181)</f>
        <v>687030901678</v>
      </c>
      <c r="H181" s="9" t="str">
        <f aca="false">IF(COUNTIF(Conferência!$A$4:$A$336,F181)=0,"",IF(COUNTIFS(Conferência!$A$4:$A$336,F181,Conferência!$D$4:$D$336,G181)&gt;0,"Confere","Falta no Word"))</f>
        <v/>
      </c>
      <c r="I181" s="3"/>
    </row>
    <row r="182" customFormat="false" ht="15" hidden="false" customHeight="false" outlineLevel="0" collapsed="false">
      <c r="A182" s="3" t="s">
        <v>712</v>
      </c>
      <c r="B182" s="3" t="s">
        <v>752</v>
      </c>
      <c r="C182" s="3" t="s">
        <v>753</v>
      </c>
      <c r="D182" s="3" t="s">
        <v>766</v>
      </c>
      <c r="E182" s="3" t="s">
        <v>715</v>
      </c>
      <c r="F182" s="3" t="s">
        <v>755</v>
      </c>
      <c r="G182" s="3" t="str">
        <f aca="false">IF(LEFT(D182,3)="09S",LEFT(D182,14),D182)</f>
        <v>687030901451</v>
      </c>
      <c r="H182" s="9" t="str">
        <f aca="false">IF(COUNTIF(Conferência!$A$4:$A$336,F182)=0,"",IF(COUNTIFS(Conferência!$A$4:$A$336,F182,Conferência!$D$4:$D$336,G182)&gt;0,"Confere","Falta no Word"))</f>
        <v/>
      </c>
      <c r="I182" s="3"/>
    </row>
    <row r="183" customFormat="false" ht="15" hidden="false" customHeight="false" outlineLevel="0" collapsed="false">
      <c r="A183" s="3" t="s">
        <v>712</v>
      </c>
      <c r="B183" s="3" t="s">
        <v>752</v>
      </c>
      <c r="C183" s="3" t="s">
        <v>753</v>
      </c>
      <c r="D183" s="3" t="s">
        <v>767</v>
      </c>
      <c r="E183" s="3" t="s">
        <v>715</v>
      </c>
      <c r="F183" s="3" t="s">
        <v>755</v>
      </c>
      <c r="G183" s="3" t="str">
        <f aca="false">IF(LEFT(D183,3)="09S",LEFT(D183,14),D183)</f>
        <v>687030901292</v>
      </c>
      <c r="H183" s="9" t="str">
        <f aca="false">IF(COUNTIF(Conferência!$A$4:$A$336,F183)=0,"",IF(COUNTIFS(Conferência!$A$4:$A$336,F183,Conferência!$D$4:$D$336,G183)&gt;0,"Confere","Falta no Word"))</f>
        <v/>
      </c>
      <c r="I183" s="3"/>
    </row>
    <row r="184" customFormat="false" ht="15" hidden="false" customHeight="false" outlineLevel="0" collapsed="false">
      <c r="A184" s="3" t="s">
        <v>712</v>
      </c>
      <c r="B184" s="3" t="s">
        <v>752</v>
      </c>
      <c r="C184" s="3" t="s">
        <v>753</v>
      </c>
      <c r="D184" s="3" t="s">
        <v>768</v>
      </c>
      <c r="E184" s="3" t="s">
        <v>715</v>
      </c>
      <c r="F184" s="3" t="s">
        <v>755</v>
      </c>
      <c r="G184" s="3" t="str">
        <f aca="false">IF(LEFT(D184,3)="09S",LEFT(D184,14),D184)</f>
        <v>687030901428</v>
      </c>
      <c r="H184" s="9" t="str">
        <f aca="false">IF(COUNTIF(Conferência!$A$4:$A$336,F184)=0,"",IF(COUNTIFS(Conferência!$A$4:$A$336,F184,Conferência!$D$4:$D$336,G184)&gt;0,"Confere","Falta no Word"))</f>
        <v/>
      </c>
      <c r="I184" s="3"/>
    </row>
    <row r="185" customFormat="false" ht="15" hidden="false" customHeight="false" outlineLevel="0" collapsed="false">
      <c r="A185" s="3" t="s">
        <v>712</v>
      </c>
      <c r="B185" s="3" t="s">
        <v>752</v>
      </c>
      <c r="C185" s="3" t="s">
        <v>753</v>
      </c>
      <c r="D185" s="3" t="s">
        <v>769</v>
      </c>
      <c r="E185" s="3" t="s">
        <v>715</v>
      </c>
      <c r="F185" s="3" t="s">
        <v>755</v>
      </c>
      <c r="G185" s="3" t="str">
        <f aca="false">IF(LEFT(D185,3)="09S",LEFT(D185,14),D185)</f>
        <v>687030901725</v>
      </c>
      <c r="H185" s="9" t="str">
        <f aca="false">IF(COUNTIF(Conferência!$A$4:$A$336,F185)=0,"",IF(COUNTIFS(Conferência!$A$4:$A$336,F185,Conferência!$D$4:$D$336,G185)&gt;0,"Confere","Falta no Word"))</f>
        <v/>
      </c>
      <c r="I185" s="3"/>
    </row>
    <row r="186" customFormat="false" ht="15" hidden="false" customHeight="false" outlineLevel="0" collapsed="false">
      <c r="A186" s="3" t="s">
        <v>712</v>
      </c>
      <c r="B186" s="3" t="s">
        <v>752</v>
      </c>
      <c r="C186" s="3" t="s">
        <v>753</v>
      </c>
      <c r="D186" s="3" t="s">
        <v>770</v>
      </c>
      <c r="E186" s="3" t="s">
        <v>715</v>
      </c>
      <c r="F186" s="3" t="s">
        <v>755</v>
      </c>
      <c r="G186" s="3" t="str">
        <f aca="false">IF(LEFT(D186,3)="09S",LEFT(D186,14),D186)</f>
        <v>687030901717</v>
      </c>
      <c r="H186" s="9" t="str">
        <f aca="false">IF(COUNTIF(Conferência!$A$4:$A$336,F186)=0,"",IF(COUNTIFS(Conferência!$A$4:$A$336,F186,Conferência!$D$4:$D$336,G186)&gt;0,"Confere","Falta no Word"))</f>
        <v/>
      </c>
      <c r="I186" s="3"/>
    </row>
    <row r="187" customFormat="false" ht="15" hidden="false" customHeight="false" outlineLevel="0" collapsed="false">
      <c r="A187" s="3" t="s">
        <v>712</v>
      </c>
      <c r="B187" s="3" t="s">
        <v>752</v>
      </c>
      <c r="C187" s="3" t="s">
        <v>753</v>
      </c>
      <c r="D187" s="3" t="s">
        <v>771</v>
      </c>
      <c r="E187" s="3" t="s">
        <v>715</v>
      </c>
      <c r="F187" s="3" t="s">
        <v>755</v>
      </c>
      <c r="G187" s="3" t="str">
        <f aca="false">IF(LEFT(D187,3)="09S",LEFT(D187,14),D187)</f>
        <v>687030901287</v>
      </c>
      <c r="H187" s="9" t="str">
        <f aca="false">IF(COUNTIF(Conferência!$A$4:$A$336,F187)=0,"",IF(COUNTIFS(Conferência!$A$4:$A$336,F187,Conferência!$D$4:$D$336,G187)&gt;0,"Confere","Falta no Word"))</f>
        <v/>
      </c>
      <c r="I187" s="3"/>
    </row>
    <row r="188" customFormat="false" ht="15" hidden="false" customHeight="false" outlineLevel="0" collapsed="false">
      <c r="A188" s="3" t="s">
        <v>712</v>
      </c>
      <c r="B188" s="3" t="s">
        <v>752</v>
      </c>
      <c r="C188" s="3" t="s">
        <v>753</v>
      </c>
      <c r="D188" s="3" t="s">
        <v>772</v>
      </c>
      <c r="E188" s="3" t="s">
        <v>715</v>
      </c>
      <c r="F188" s="3" t="s">
        <v>755</v>
      </c>
      <c r="G188" s="3" t="str">
        <f aca="false">IF(LEFT(D188,3)="09S",LEFT(D188,14),D188)</f>
        <v>687030901699</v>
      </c>
      <c r="H188" s="9" t="str">
        <f aca="false">IF(COUNTIF(Conferência!$A$4:$A$336,F188)=0,"",IF(COUNTIFS(Conferência!$A$4:$A$336,F188,Conferência!$D$4:$D$336,G188)&gt;0,"Confere","Falta no Word"))</f>
        <v/>
      </c>
      <c r="I188" s="3"/>
    </row>
    <row r="189" customFormat="false" ht="15" hidden="false" customHeight="false" outlineLevel="0" collapsed="false">
      <c r="A189" s="3" t="s">
        <v>712</v>
      </c>
      <c r="B189" s="3" t="s">
        <v>752</v>
      </c>
      <c r="C189" s="3" t="s">
        <v>753</v>
      </c>
      <c r="D189" s="3" t="s">
        <v>773</v>
      </c>
      <c r="E189" s="3" t="s">
        <v>715</v>
      </c>
      <c r="F189" s="3" t="s">
        <v>755</v>
      </c>
      <c r="G189" s="3" t="str">
        <f aca="false">IF(LEFT(D189,3)="09S",LEFT(D189,14),D189)</f>
        <v>687030901443</v>
      </c>
      <c r="H189" s="9" t="str">
        <f aca="false">IF(COUNTIF(Conferência!$A$4:$A$336,F189)=0,"",IF(COUNTIFS(Conferência!$A$4:$A$336,F189,Conferência!$D$4:$D$336,G189)&gt;0,"Confere","Falta no Word"))</f>
        <v/>
      </c>
      <c r="I189" s="3"/>
    </row>
    <row r="190" customFormat="false" ht="15" hidden="false" customHeight="false" outlineLevel="0" collapsed="false">
      <c r="A190" s="3" t="s">
        <v>712</v>
      </c>
      <c r="B190" s="3" t="s">
        <v>752</v>
      </c>
      <c r="C190" s="3" t="s">
        <v>753</v>
      </c>
      <c r="D190" s="3" t="s">
        <v>774</v>
      </c>
      <c r="E190" s="3" t="s">
        <v>715</v>
      </c>
      <c r="F190" s="3" t="s">
        <v>755</v>
      </c>
      <c r="G190" s="3" t="str">
        <f aca="false">IF(LEFT(D190,3)="09S",LEFT(D190,14),D190)</f>
        <v>687030901722</v>
      </c>
      <c r="H190" s="9" t="str">
        <f aca="false">IF(COUNTIF(Conferência!$A$4:$A$336,F190)=0,"",IF(COUNTIFS(Conferência!$A$4:$A$336,F190,Conferência!$D$4:$D$336,G190)&gt;0,"Confere","Falta no Word"))</f>
        <v/>
      </c>
      <c r="I190" s="3"/>
    </row>
    <row r="191" customFormat="false" ht="15" hidden="false" customHeight="false" outlineLevel="0" collapsed="false">
      <c r="A191" s="3" t="s">
        <v>712</v>
      </c>
      <c r="B191" s="3" t="s">
        <v>752</v>
      </c>
      <c r="C191" s="3" t="s">
        <v>753</v>
      </c>
      <c r="D191" s="3" t="s">
        <v>775</v>
      </c>
      <c r="E191" s="3" t="s">
        <v>715</v>
      </c>
      <c r="F191" s="3" t="s">
        <v>755</v>
      </c>
      <c r="G191" s="3" t="str">
        <f aca="false">IF(LEFT(D191,3)="09S",LEFT(D191,14),D191)</f>
        <v>687030901788</v>
      </c>
      <c r="H191" s="9" t="str">
        <f aca="false">IF(COUNTIF(Conferência!$A$4:$A$336,F191)=0,"",IF(COUNTIFS(Conferência!$A$4:$A$336,F191,Conferência!$D$4:$D$336,G191)&gt;0,"Confere","Falta no Word"))</f>
        <v/>
      </c>
      <c r="I191" s="3"/>
    </row>
    <row r="192" customFormat="false" ht="15" hidden="false" customHeight="false" outlineLevel="0" collapsed="false">
      <c r="A192" s="3" t="s">
        <v>712</v>
      </c>
      <c r="B192" s="3" t="s">
        <v>752</v>
      </c>
      <c r="C192" s="3" t="s">
        <v>753</v>
      </c>
      <c r="D192" s="3" t="s">
        <v>776</v>
      </c>
      <c r="E192" s="3" t="s">
        <v>715</v>
      </c>
      <c r="F192" s="3" t="s">
        <v>755</v>
      </c>
      <c r="G192" s="3" t="str">
        <f aca="false">IF(LEFT(D192,3)="09S",LEFT(D192,14),D192)</f>
        <v>687030901295</v>
      </c>
      <c r="H192" s="9" t="str">
        <f aca="false">IF(COUNTIF(Conferência!$A$4:$A$336,F192)=0,"",IF(COUNTIFS(Conferência!$A$4:$A$336,F192,Conferência!$D$4:$D$336,G192)&gt;0,"Confere","Falta no Word"))</f>
        <v/>
      </c>
      <c r="I192" s="3"/>
    </row>
    <row r="193" customFormat="false" ht="15" hidden="false" customHeight="false" outlineLevel="0" collapsed="false">
      <c r="A193" s="3" t="s">
        <v>712</v>
      </c>
      <c r="B193" s="3" t="s">
        <v>752</v>
      </c>
      <c r="C193" s="3" t="s">
        <v>753</v>
      </c>
      <c r="D193" s="3" t="s">
        <v>777</v>
      </c>
      <c r="E193" s="3" t="s">
        <v>715</v>
      </c>
      <c r="F193" s="3" t="s">
        <v>755</v>
      </c>
      <c r="G193" s="3" t="str">
        <f aca="false">IF(LEFT(D193,3)="09S",LEFT(D193,14),D193)</f>
        <v>687030901613</v>
      </c>
      <c r="H193" s="9" t="str">
        <f aca="false">IF(COUNTIF(Conferência!$A$4:$A$336,F193)=0,"",IF(COUNTIFS(Conferência!$A$4:$A$336,F193,Conferência!$D$4:$D$336,G193)&gt;0,"Confere","Falta no Word"))</f>
        <v/>
      </c>
      <c r="I193" s="3"/>
    </row>
    <row r="194" customFormat="false" ht="15" hidden="false" customHeight="false" outlineLevel="0" collapsed="false">
      <c r="A194" s="3" t="s">
        <v>712</v>
      </c>
      <c r="B194" s="3" t="s">
        <v>752</v>
      </c>
      <c r="C194" s="3" t="s">
        <v>753</v>
      </c>
      <c r="D194" s="3" t="s">
        <v>778</v>
      </c>
      <c r="E194" s="3" t="s">
        <v>715</v>
      </c>
      <c r="F194" s="3" t="s">
        <v>755</v>
      </c>
      <c r="G194" s="3" t="str">
        <f aca="false">IF(LEFT(D194,3)="09S",LEFT(D194,14),D194)</f>
        <v>687030901294</v>
      </c>
      <c r="H194" s="9" t="str">
        <f aca="false">IF(COUNTIF(Conferência!$A$4:$A$336,F194)=0,"",IF(COUNTIFS(Conferência!$A$4:$A$336,F194,Conferência!$D$4:$D$336,G194)&gt;0,"Confere","Falta no Word"))</f>
        <v/>
      </c>
      <c r="I194" s="3"/>
    </row>
    <row r="195" customFormat="false" ht="15" hidden="false" customHeight="false" outlineLevel="0" collapsed="false">
      <c r="A195" s="3" t="s">
        <v>712</v>
      </c>
      <c r="B195" s="3" t="s">
        <v>752</v>
      </c>
      <c r="C195" s="3" t="s">
        <v>753</v>
      </c>
      <c r="D195" s="3" t="s">
        <v>779</v>
      </c>
      <c r="E195" s="3" t="s">
        <v>715</v>
      </c>
      <c r="F195" s="3" t="s">
        <v>755</v>
      </c>
      <c r="G195" s="3" t="str">
        <f aca="false">IF(LEFT(D195,3)="09S",LEFT(D195,14),D195)</f>
        <v>687030901730</v>
      </c>
      <c r="H195" s="9" t="str">
        <f aca="false">IF(COUNTIF(Conferência!$A$4:$A$336,F195)=0,"",IF(COUNTIFS(Conferência!$A$4:$A$336,F195,Conferência!$D$4:$D$336,G195)&gt;0,"Confere","Falta no Word"))</f>
        <v/>
      </c>
      <c r="I195" s="3"/>
    </row>
    <row r="196" customFormat="false" ht="15" hidden="false" customHeight="false" outlineLevel="0" collapsed="false">
      <c r="A196" s="3" t="s">
        <v>712</v>
      </c>
      <c r="B196" s="3" t="s">
        <v>752</v>
      </c>
      <c r="C196" s="3" t="s">
        <v>753</v>
      </c>
      <c r="D196" s="3" t="s">
        <v>780</v>
      </c>
      <c r="E196" s="3" t="s">
        <v>715</v>
      </c>
      <c r="F196" s="3" t="s">
        <v>755</v>
      </c>
      <c r="G196" s="3" t="str">
        <f aca="false">IF(LEFT(D196,3)="09S",LEFT(D196,14),D196)</f>
        <v>687030901578</v>
      </c>
      <c r="H196" s="9" t="str">
        <f aca="false">IF(COUNTIF(Conferência!$A$4:$A$336,F196)=0,"",IF(COUNTIFS(Conferência!$A$4:$A$336,F196,Conferência!$D$4:$D$336,G196)&gt;0,"Confere","Falta no Word"))</f>
        <v/>
      </c>
      <c r="I196" s="3"/>
    </row>
    <row r="197" customFormat="false" ht="15" hidden="false" customHeight="false" outlineLevel="0" collapsed="false">
      <c r="A197" s="3" t="s">
        <v>712</v>
      </c>
      <c r="B197" s="3" t="s">
        <v>752</v>
      </c>
      <c r="C197" s="3" t="s">
        <v>753</v>
      </c>
      <c r="D197" s="3" t="s">
        <v>781</v>
      </c>
      <c r="E197" s="3" t="s">
        <v>715</v>
      </c>
      <c r="F197" s="3" t="s">
        <v>755</v>
      </c>
      <c r="G197" s="3" t="str">
        <f aca="false">IF(LEFT(D197,3)="09S",LEFT(D197,14),D197)</f>
        <v>687030901423</v>
      </c>
      <c r="H197" s="9" t="str">
        <f aca="false">IF(COUNTIF(Conferência!$A$4:$A$336,F197)=0,"",IF(COUNTIFS(Conferência!$A$4:$A$336,F197,Conferência!$D$4:$D$336,G197)&gt;0,"Confere","Falta no Word"))</f>
        <v/>
      </c>
      <c r="I197" s="3"/>
    </row>
    <row r="198" customFormat="false" ht="15" hidden="false" customHeight="false" outlineLevel="0" collapsed="false">
      <c r="A198" s="3" t="s">
        <v>712</v>
      </c>
      <c r="B198" s="3" t="s">
        <v>752</v>
      </c>
      <c r="C198" s="3" t="s">
        <v>753</v>
      </c>
      <c r="D198" s="3" t="s">
        <v>782</v>
      </c>
      <c r="E198" s="3" t="s">
        <v>715</v>
      </c>
      <c r="F198" s="3" t="s">
        <v>755</v>
      </c>
      <c r="G198" s="3" t="str">
        <f aca="false">IF(LEFT(D198,3)="09S",LEFT(D198,14),D198)</f>
        <v>687030901587</v>
      </c>
      <c r="H198" s="9" t="str">
        <f aca="false">IF(COUNTIF(Conferência!$A$4:$A$336,F198)=0,"",IF(COUNTIFS(Conferência!$A$4:$A$336,F198,Conferência!$D$4:$D$336,G198)&gt;0,"Confere","Falta no Word"))</f>
        <v/>
      </c>
      <c r="I198" s="3"/>
    </row>
    <row r="199" customFormat="false" ht="15" hidden="false" customHeight="false" outlineLevel="0" collapsed="false">
      <c r="A199" s="3" t="s">
        <v>712</v>
      </c>
      <c r="B199" s="3" t="s">
        <v>752</v>
      </c>
      <c r="C199" s="3" t="s">
        <v>753</v>
      </c>
      <c r="D199" s="3" t="s">
        <v>783</v>
      </c>
      <c r="E199" s="3" t="s">
        <v>715</v>
      </c>
      <c r="F199" s="3" t="s">
        <v>755</v>
      </c>
      <c r="G199" s="3" t="str">
        <f aca="false">IF(LEFT(D199,3)="09S",LEFT(D199,14),D199)</f>
        <v>687030901298</v>
      </c>
      <c r="H199" s="9" t="str">
        <f aca="false">IF(COUNTIF(Conferência!$A$4:$A$336,F199)=0,"",IF(COUNTIFS(Conferência!$A$4:$A$336,F199,Conferência!$D$4:$D$336,G199)&gt;0,"Confere","Falta no Word"))</f>
        <v/>
      </c>
      <c r="I199" s="3"/>
    </row>
    <row r="200" customFormat="false" ht="15" hidden="false" customHeight="false" outlineLevel="0" collapsed="false">
      <c r="A200" s="3" t="s">
        <v>712</v>
      </c>
      <c r="B200" s="3" t="s">
        <v>752</v>
      </c>
      <c r="C200" s="3" t="s">
        <v>753</v>
      </c>
      <c r="D200" s="3" t="s">
        <v>784</v>
      </c>
      <c r="E200" s="3" t="s">
        <v>715</v>
      </c>
      <c r="F200" s="3" t="s">
        <v>755</v>
      </c>
      <c r="G200" s="3" t="str">
        <f aca="false">IF(LEFT(D200,3)="09S",LEFT(D200,14),D200)</f>
        <v>687030901289</v>
      </c>
      <c r="H200" s="9" t="str">
        <f aca="false">IF(COUNTIF(Conferência!$A$4:$A$336,F200)=0,"",IF(COUNTIFS(Conferência!$A$4:$A$336,F200,Conferência!$D$4:$D$336,G200)&gt;0,"Confere","Falta no Word"))</f>
        <v/>
      </c>
      <c r="I200" s="3"/>
    </row>
    <row r="201" customFormat="false" ht="15" hidden="false" customHeight="false" outlineLevel="0" collapsed="false">
      <c r="A201" s="3" t="s">
        <v>712</v>
      </c>
      <c r="B201" s="3" t="s">
        <v>785</v>
      </c>
      <c r="C201" s="3" t="s">
        <v>786</v>
      </c>
      <c r="D201" s="3" t="s">
        <v>787</v>
      </c>
      <c r="E201" s="3" t="s">
        <v>715</v>
      </c>
      <c r="F201" s="3" t="s">
        <v>755</v>
      </c>
      <c r="G201" s="3" t="str">
        <f aca="false">IF(LEFT(D201,3)="09S",LEFT(D201,14),D201)</f>
        <v>Y2U6HX5T700281W</v>
      </c>
      <c r="H201" s="9" t="str">
        <f aca="false">IF(COUNTIF(Conferência!$A$4:$A$336,F201)=0,"",IF(COUNTIFS(Conferência!$A$4:$A$336,F201,Conferência!$D$4:$D$336,G201)&gt;0,"Confere","Falta no Word"))</f>
        <v/>
      </c>
      <c r="I201" s="3"/>
    </row>
    <row r="202" customFormat="false" ht="15" hidden="false" customHeight="false" outlineLevel="0" collapsed="false">
      <c r="A202" s="3" t="s">
        <v>712</v>
      </c>
      <c r="B202" s="3" t="s">
        <v>752</v>
      </c>
      <c r="C202" s="3" t="s">
        <v>753</v>
      </c>
      <c r="D202" s="3" t="s">
        <v>788</v>
      </c>
      <c r="E202" s="3" t="s">
        <v>715</v>
      </c>
      <c r="F202" s="3" t="s">
        <v>789</v>
      </c>
      <c r="G202" s="3" t="str">
        <f aca="false">IF(LEFT(D202,3)="09S",LEFT(D202,14),D202)</f>
        <v>687030901402</v>
      </c>
      <c r="H202" s="9" t="str">
        <f aca="false">IF(COUNTIF(Conferência!$A$4:$A$336,F202)=0,"",IF(COUNTIFS(Conferência!$A$4:$A$336,F202,Conferência!$D$4:$D$336,G202)&gt;0,"Confere","Falta no Word"))</f>
        <v/>
      </c>
      <c r="I202" s="3"/>
    </row>
    <row r="203" customFormat="false" ht="15" hidden="false" customHeight="false" outlineLevel="0" collapsed="false">
      <c r="A203" s="3" t="s">
        <v>712</v>
      </c>
      <c r="B203" s="3" t="s">
        <v>752</v>
      </c>
      <c r="C203" s="3" t="s">
        <v>753</v>
      </c>
      <c r="D203" s="3" t="s">
        <v>790</v>
      </c>
      <c r="E203" s="3" t="s">
        <v>715</v>
      </c>
      <c r="F203" s="3" t="s">
        <v>789</v>
      </c>
      <c r="G203" s="3" t="str">
        <f aca="false">IF(LEFT(D203,3)="09S",LEFT(D203,14),D203)</f>
        <v>687030901394</v>
      </c>
      <c r="H203" s="9" t="str">
        <f aca="false">IF(COUNTIF(Conferência!$A$4:$A$336,F203)=0,"",IF(COUNTIFS(Conferência!$A$4:$A$336,F203,Conferência!$D$4:$D$336,G203)&gt;0,"Confere","Falta no Word"))</f>
        <v/>
      </c>
      <c r="I203" s="3"/>
    </row>
    <row r="204" customFormat="false" ht="15" hidden="false" customHeight="false" outlineLevel="0" collapsed="false">
      <c r="A204" s="3" t="s">
        <v>712</v>
      </c>
      <c r="B204" s="3" t="s">
        <v>752</v>
      </c>
      <c r="C204" s="3" t="s">
        <v>753</v>
      </c>
      <c r="D204" s="3" t="s">
        <v>791</v>
      </c>
      <c r="E204" s="3" t="s">
        <v>715</v>
      </c>
      <c r="F204" s="3" t="s">
        <v>789</v>
      </c>
      <c r="G204" s="3" t="str">
        <f aca="false">IF(LEFT(D204,3)="09S",LEFT(D204,14),D204)</f>
        <v>687030901406</v>
      </c>
      <c r="H204" s="9" t="str">
        <f aca="false">IF(COUNTIF(Conferência!$A$4:$A$336,F204)=0,"",IF(COUNTIFS(Conferência!$A$4:$A$336,F204,Conferência!$D$4:$D$336,G204)&gt;0,"Confere","Falta no Word"))</f>
        <v/>
      </c>
      <c r="I204" s="3"/>
    </row>
    <row r="205" customFormat="false" ht="15" hidden="false" customHeight="false" outlineLevel="0" collapsed="false">
      <c r="A205" s="3" t="s">
        <v>712</v>
      </c>
      <c r="B205" s="3" t="s">
        <v>752</v>
      </c>
      <c r="C205" s="3" t="s">
        <v>753</v>
      </c>
      <c r="D205" s="3" t="s">
        <v>792</v>
      </c>
      <c r="E205" s="3" t="s">
        <v>715</v>
      </c>
      <c r="F205" s="3" t="s">
        <v>789</v>
      </c>
      <c r="G205" s="3" t="str">
        <f aca="false">IF(LEFT(D205,3)="09S",LEFT(D205,14),D205)</f>
        <v>689030901391</v>
      </c>
      <c r="H205" s="9" t="str">
        <f aca="false">IF(COUNTIF(Conferência!$A$4:$A$336,F205)=0,"",IF(COUNTIFS(Conferência!$A$4:$A$336,F205,Conferência!$D$4:$D$336,G205)&gt;0,"Confere","Falta no Word"))</f>
        <v/>
      </c>
      <c r="I205" s="3"/>
    </row>
    <row r="206" customFormat="false" ht="15" hidden="false" customHeight="false" outlineLevel="0" collapsed="false">
      <c r="A206" s="3" t="s">
        <v>712</v>
      </c>
      <c r="B206" s="3" t="s">
        <v>752</v>
      </c>
      <c r="C206" s="3" t="s">
        <v>753</v>
      </c>
      <c r="D206" s="3" t="s">
        <v>793</v>
      </c>
      <c r="E206" s="3" t="s">
        <v>715</v>
      </c>
      <c r="F206" s="3" t="s">
        <v>789</v>
      </c>
      <c r="G206" s="3" t="str">
        <f aca="false">IF(LEFT(D206,3)="09S",LEFT(D206,14),D206)</f>
        <v>687030901410</v>
      </c>
      <c r="H206" s="9" t="str">
        <f aca="false">IF(COUNTIF(Conferência!$A$4:$A$336,F206)=0,"",IF(COUNTIFS(Conferência!$A$4:$A$336,F206,Conferência!$D$4:$D$336,G206)&gt;0,"Confere","Falta no Word"))</f>
        <v/>
      </c>
      <c r="I206" s="3"/>
    </row>
    <row r="207" customFormat="false" ht="15" hidden="false" customHeight="false" outlineLevel="0" collapsed="false">
      <c r="A207" s="3" t="s">
        <v>712</v>
      </c>
      <c r="B207" s="3" t="s">
        <v>752</v>
      </c>
      <c r="C207" s="3" t="s">
        <v>753</v>
      </c>
      <c r="D207" s="3" t="s">
        <v>794</v>
      </c>
      <c r="E207" s="3" t="s">
        <v>715</v>
      </c>
      <c r="F207" s="3" t="s">
        <v>789</v>
      </c>
      <c r="G207" s="3" t="str">
        <f aca="false">IF(LEFT(D207,3)="09S",LEFT(D207,14),D207)</f>
        <v>687030901395</v>
      </c>
      <c r="H207" s="9" t="str">
        <f aca="false">IF(COUNTIF(Conferência!$A$4:$A$336,F207)=0,"",IF(COUNTIFS(Conferência!$A$4:$A$336,F207,Conferência!$D$4:$D$336,G207)&gt;0,"Confere","Falta no Word"))</f>
        <v/>
      </c>
      <c r="I207" s="3"/>
    </row>
    <row r="208" customFormat="false" ht="15" hidden="false" customHeight="false" outlineLevel="0" collapsed="false">
      <c r="A208" s="3" t="s">
        <v>712</v>
      </c>
      <c r="B208" s="3" t="s">
        <v>752</v>
      </c>
      <c r="C208" s="3" t="s">
        <v>753</v>
      </c>
      <c r="D208" s="3" t="s">
        <v>795</v>
      </c>
      <c r="E208" s="3" t="s">
        <v>715</v>
      </c>
      <c r="F208" s="3" t="s">
        <v>789</v>
      </c>
      <c r="G208" s="3" t="str">
        <f aca="false">IF(LEFT(D208,3)="09S",LEFT(D208,14),D208)</f>
        <v>687030901419</v>
      </c>
      <c r="H208" s="9" t="str">
        <f aca="false">IF(COUNTIF(Conferência!$A$4:$A$336,F208)=0,"",IF(COUNTIFS(Conferência!$A$4:$A$336,F208,Conferência!$D$4:$D$336,G208)&gt;0,"Confere","Falta no Word"))</f>
        <v/>
      </c>
      <c r="I208" s="3"/>
    </row>
    <row r="209" customFormat="false" ht="15" hidden="false" customHeight="false" outlineLevel="0" collapsed="false">
      <c r="A209" s="3" t="s">
        <v>712</v>
      </c>
      <c r="B209" s="3" t="s">
        <v>752</v>
      </c>
      <c r="C209" s="3" t="s">
        <v>753</v>
      </c>
      <c r="D209" s="3" t="s">
        <v>796</v>
      </c>
      <c r="E209" s="3" t="s">
        <v>715</v>
      </c>
      <c r="F209" s="3" t="s">
        <v>789</v>
      </c>
      <c r="G209" s="3" t="str">
        <f aca="false">IF(LEFT(D209,3)="09S",LEFT(D209,14),D209)</f>
        <v>687030901430</v>
      </c>
      <c r="H209" s="9" t="str">
        <f aca="false">IF(COUNTIF(Conferência!$A$4:$A$336,F209)=0,"",IF(COUNTIFS(Conferência!$A$4:$A$336,F209,Conferência!$D$4:$D$336,G209)&gt;0,"Confere","Falta no Word"))</f>
        <v/>
      </c>
      <c r="I209" s="3"/>
    </row>
    <row r="210" customFormat="false" ht="15" hidden="false" customHeight="false" outlineLevel="0" collapsed="false">
      <c r="A210" s="3" t="s">
        <v>712</v>
      </c>
      <c r="B210" s="3" t="s">
        <v>752</v>
      </c>
      <c r="C210" s="3" t="s">
        <v>753</v>
      </c>
      <c r="D210" s="3" t="s">
        <v>797</v>
      </c>
      <c r="E210" s="3" t="s">
        <v>715</v>
      </c>
      <c r="F210" s="3" t="s">
        <v>789</v>
      </c>
      <c r="G210" s="3" t="str">
        <f aca="false">IF(LEFT(D210,3)="09S",LEFT(D210,14),D210)</f>
        <v>681030901252</v>
      </c>
      <c r="H210" s="9" t="str">
        <f aca="false">IF(COUNTIF(Conferência!$A$4:$A$336,F210)=0,"",IF(COUNTIFS(Conferência!$A$4:$A$336,F210,Conferência!$D$4:$D$336,G210)&gt;0,"Confere","Falta no Word"))</f>
        <v/>
      </c>
      <c r="I210" s="3"/>
    </row>
    <row r="211" customFormat="false" ht="15" hidden="false" customHeight="false" outlineLevel="0" collapsed="false">
      <c r="A211" s="3" t="s">
        <v>712</v>
      </c>
      <c r="B211" s="3" t="s">
        <v>752</v>
      </c>
      <c r="C211" s="3" t="s">
        <v>753</v>
      </c>
      <c r="D211" s="3" t="s">
        <v>798</v>
      </c>
      <c r="E211" s="3" t="s">
        <v>715</v>
      </c>
      <c r="F211" s="3" t="s">
        <v>789</v>
      </c>
      <c r="G211" s="3" t="str">
        <f aca="false">IF(LEFT(D211,3)="09S",LEFT(D211,14),D211)</f>
        <v>687030901409</v>
      </c>
      <c r="H211" s="9" t="str">
        <f aca="false">IF(COUNTIF(Conferência!$A$4:$A$336,F211)=0,"",IF(COUNTIFS(Conferência!$A$4:$A$336,F211,Conferência!$D$4:$D$336,G211)&gt;0,"Confere","Falta no Word"))</f>
        <v/>
      </c>
      <c r="I211" s="3"/>
    </row>
    <row r="212" customFormat="false" ht="15" hidden="false" customHeight="false" outlineLevel="0" collapsed="false">
      <c r="A212" s="3" t="s">
        <v>712</v>
      </c>
      <c r="B212" s="3" t="s">
        <v>785</v>
      </c>
      <c r="C212" s="3" t="s">
        <v>786</v>
      </c>
      <c r="D212" s="3" t="s">
        <v>799</v>
      </c>
      <c r="E212" s="3" t="s">
        <v>715</v>
      </c>
      <c r="F212" s="3" t="s">
        <v>800</v>
      </c>
      <c r="G212" s="3" t="str">
        <f aca="false">IF(LEFT(D212,3)="09S",LEFT(D212,14),D212)</f>
        <v>Y2U6HX5T802181Z</v>
      </c>
      <c r="H212" s="9" t="str">
        <f aca="false">IF(COUNTIF(Conferência!$A$4:$A$336,F212)=0,"",IF(COUNTIFS(Conferência!$A$4:$A$336,F212,Conferência!$D$4:$D$336,G212)&gt;0,"Confere","Falta no Word"))</f>
        <v/>
      </c>
      <c r="I212" s="3"/>
    </row>
    <row r="213" customFormat="false" ht="15" hidden="false" customHeight="false" outlineLevel="0" collapsed="false">
      <c r="A213" s="3" t="s">
        <v>712</v>
      </c>
      <c r="B213" s="3" t="s">
        <v>785</v>
      </c>
      <c r="C213" s="3" t="s">
        <v>786</v>
      </c>
      <c r="D213" s="3" t="s">
        <v>801</v>
      </c>
      <c r="E213" s="3" t="s">
        <v>715</v>
      </c>
      <c r="F213" s="3" t="s">
        <v>800</v>
      </c>
      <c r="G213" s="3" t="str">
        <f aca="false">IF(LEFT(D213,3)="09S",LEFT(D213,14),D213)</f>
        <v>Y2U6HX5T801214L</v>
      </c>
      <c r="H213" s="9" t="str">
        <f aca="false">IF(COUNTIF(Conferência!$A$4:$A$336,F213)=0,"",IF(COUNTIFS(Conferência!$A$4:$A$336,F213,Conferência!$D$4:$D$336,G213)&gt;0,"Confere","Falta no Word"))</f>
        <v/>
      </c>
      <c r="I213" s="3"/>
    </row>
    <row r="214" customFormat="false" ht="15" hidden="false" customHeight="false" outlineLevel="0" collapsed="false">
      <c r="A214" s="3" t="s">
        <v>712</v>
      </c>
      <c r="B214" s="3" t="s">
        <v>785</v>
      </c>
      <c r="C214" s="3" t="s">
        <v>786</v>
      </c>
      <c r="D214" s="3" t="s">
        <v>802</v>
      </c>
      <c r="E214" s="3" t="s">
        <v>715</v>
      </c>
      <c r="F214" s="3" t="s">
        <v>800</v>
      </c>
      <c r="G214" s="3" t="str">
        <f aca="false">IF(LEFT(D214,3)="09S",LEFT(D214,14),D214)</f>
        <v>Y2U6HX5T802015F</v>
      </c>
      <c r="H214" s="9" t="str">
        <f aca="false">IF(COUNTIF(Conferência!$A$4:$A$336,F214)=0,"",IF(COUNTIFS(Conferência!$A$4:$A$336,F214,Conferência!$D$4:$D$336,G214)&gt;0,"Confere","Falta no Word"))</f>
        <v/>
      </c>
      <c r="I214" s="3"/>
    </row>
    <row r="215" customFormat="false" ht="15" hidden="false" customHeight="false" outlineLevel="0" collapsed="false">
      <c r="A215" s="3" t="s">
        <v>712</v>
      </c>
      <c r="B215" s="3" t="s">
        <v>785</v>
      </c>
      <c r="C215" s="3" t="s">
        <v>786</v>
      </c>
      <c r="D215" s="3" t="s">
        <v>803</v>
      </c>
      <c r="E215" s="3" t="s">
        <v>715</v>
      </c>
      <c r="F215" s="3" t="s">
        <v>800</v>
      </c>
      <c r="G215" s="3" t="str">
        <f aca="false">IF(LEFT(D215,3)="09S",LEFT(D215,14),D215)</f>
        <v>Y2U6HX5T800636V</v>
      </c>
      <c r="H215" s="9" t="str">
        <f aca="false">IF(COUNTIF(Conferência!$A$4:$A$336,F215)=0,"",IF(COUNTIFS(Conferência!$A$4:$A$336,F215,Conferência!$D$4:$D$336,G215)&gt;0,"Confere","Falta no Word"))</f>
        <v/>
      </c>
      <c r="I215" s="3"/>
    </row>
    <row r="216" customFormat="false" ht="15" hidden="false" customHeight="false" outlineLevel="0" collapsed="false">
      <c r="A216" s="3" t="s">
        <v>712</v>
      </c>
      <c r="B216" s="3" t="s">
        <v>785</v>
      </c>
      <c r="C216" s="3" t="s">
        <v>786</v>
      </c>
      <c r="D216" s="3" t="s">
        <v>804</v>
      </c>
      <c r="E216" s="3" t="s">
        <v>715</v>
      </c>
      <c r="F216" s="3" t="s">
        <v>800</v>
      </c>
      <c r="G216" s="3" t="str">
        <f aca="false">IF(LEFT(D216,3)="09S",LEFT(D216,14),D216)</f>
        <v>Y2U6HX5T800193L</v>
      </c>
      <c r="H216" s="9" t="str">
        <f aca="false">IF(COUNTIF(Conferência!$A$4:$A$336,F216)=0,"",IF(COUNTIFS(Conferência!$A$4:$A$336,F216,Conferência!$D$4:$D$336,G216)&gt;0,"Confere","Falta no Word"))</f>
        <v/>
      </c>
      <c r="I216" s="3"/>
    </row>
    <row r="217" customFormat="false" ht="15" hidden="false" customHeight="false" outlineLevel="0" collapsed="false">
      <c r="A217" s="3" t="s">
        <v>712</v>
      </c>
      <c r="B217" s="3" t="s">
        <v>785</v>
      </c>
      <c r="C217" s="3" t="s">
        <v>786</v>
      </c>
      <c r="D217" s="3" t="s">
        <v>805</v>
      </c>
      <c r="E217" s="3" t="s">
        <v>715</v>
      </c>
      <c r="F217" s="3" t="s">
        <v>800</v>
      </c>
      <c r="G217" s="3" t="str">
        <f aca="false">IF(LEFT(D217,3)="09S",LEFT(D217,14),D217)</f>
        <v>Y2U6HX5T801210P</v>
      </c>
      <c r="H217" s="9" t="str">
        <f aca="false">IF(COUNTIF(Conferência!$A$4:$A$336,F217)=0,"",IF(COUNTIFS(Conferência!$A$4:$A$336,F217,Conferência!$D$4:$D$336,G217)&gt;0,"Confere","Falta no Word"))</f>
        <v/>
      </c>
      <c r="I217" s="3"/>
    </row>
    <row r="218" customFormat="false" ht="15" hidden="false" customHeight="false" outlineLevel="0" collapsed="false">
      <c r="A218" s="3" t="s">
        <v>712</v>
      </c>
      <c r="B218" s="3" t="s">
        <v>785</v>
      </c>
      <c r="C218" s="3" t="s">
        <v>786</v>
      </c>
      <c r="D218" s="3" t="s">
        <v>806</v>
      </c>
      <c r="E218" s="3" t="s">
        <v>715</v>
      </c>
      <c r="F218" s="3" t="s">
        <v>800</v>
      </c>
      <c r="G218" s="3" t="str">
        <f aca="false">IF(LEFT(D218,3)="09S",LEFT(D218,14),D218)</f>
        <v>Y2U6HX5T502805B</v>
      </c>
      <c r="H218" s="9" t="str">
        <f aca="false">IF(COUNTIF(Conferência!$A$4:$A$336,F218)=0,"",IF(COUNTIFS(Conferência!$A$4:$A$336,F218,Conferência!$D$4:$D$336,G218)&gt;0,"Confere","Falta no Word"))</f>
        <v/>
      </c>
      <c r="I218" s="3"/>
    </row>
    <row r="219" customFormat="false" ht="15" hidden="false" customHeight="false" outlineLevel="0" collapsed="false">
      <c r="A219" s="3" t="s">
        <v>712</v>
      </c>
      <c r="B219" s="3" t="s">
        <v>785</v>
      </c>
      <c r="C219" s="3" t="s">
        <v>786</v>
      </c>
      <c r="D219" s="3" t="s">
        <v>807</v>
      </c>
      <c r="E219" s="3" t="s">
        <v>715</v>
      </c>
      <c r="F219" s="3" t="s">
        <v>800</v>
      </c>
      <c r="G219" s="3" t="str">
        <f aca="false">IF(LEFT(D219,3)="09S",LEFT(D219,14),D219)</f>
        <v>Y2U6HX5T800191R</v>
      </c>
      <c r="H219" s="9" t="str">
        <f aca="false">IF(COUNTIF(Conferência!$A$4:$A$336,F219)=0,"",IF(COUNTIFS(Conferência!$A$4:$A$336,F219,Conferência!$D$4:$D$336,G219)&gt;0,"Confere","Falta no Word"))</f>
        <v/>
      </c>
      <c r="I219" s="3"/>
    </row>
    <row r="220" customFormat="false" ht="15" hidden="false" customHeight="false" outlineLevel="0" collapsed="false">
      <c r="A220" s="3" t="s">
        <v>712</v>
      </c>
      <c r="B220" s="3" t="s">
        <v>785</v>
      </c>
      <c r="C220" s="3" t="s">
        <v>786</v>
      </c>
      <c r="D220" s="3" t="s">
        <v>808</v>
      </c>
      <c r="E220" s="3" t="s">
        <v>715</v>
      </c>
      <c r="F220" s="3" t="s">
        <v>800</v>
      </c>
      <c r="G220" s="3" t="str">
        <f aca="false">IF(LEFT(D220,3)="09S",LEFT(D220,14),D220)</f>
        <v>Y2U6HX5T800625Y</v>
      </c>
      <c r="H220" s="9" t="str">
        <f aca="false">IF(COUNTIF(Conferência!$A$4:$A$336,F220)=0,"",IF(COUNTIFS(Conferência!$A$4:$A$336,F220,Conferência!$D$4:$D$336,G220)&gt;0,"Confere","Falta no Word"))</f>
        <v/>
      </c>
      <c r="I220" s="3"/>
    </row>
    <row r="221" customFormat="false" ht="15" hidden="false" customHeight="false" outlineLevel="0" collapsed="false">
      <c r="A221" s="3" t="s">
        <v>712</v>
      </c>
      <c r="B221" s="3" t="s">
        <v>785</v>
      </c>
      <c r="C221" s="3" t="s">
        <v>786</v>
      </c>
      <c r="D221" s="3" t="s">
        <v>809</v>
      </c>
      <c r="E221" s="3" t="s">
        <v>715</v>
      </c>
      <c r="F221" s="3" t="s">
        <v>800</v>
      </c>
      <c r="G221" s="3" t="str">
        <f aca="false">IF(LEFT(D221,3)="09S",LEFT(D221,14),D221)</f>
        <v>Y2U6HX5T800635J</v>
      </c>
      <c r="H221" s="9" t="str">
        <f aca="false">IF(COUNTIF(Conferência!$A$4:$A$336,F221)=0,"",IF(COUNTIFS(Conferência!$A$4:$A$336,F221,Conferência!$D$4:$D$336,G221)&gt;0,"Confere","Falta no Word"))</f>
        <v/>
      </c>
      <c r="I221" s="3"/>
    </row>
    <row r="222" customFormat="false" ht="15" hidden="false" customHeight="false" outlineLevel="0" collapsed="false">
      <c r="A222" s="3" t="s">
        <v>712</v>
      </c>
      <c r="B222" s="3" t="s">
        <v>785</v>
      </c>
      <c r="C222" s="3" t="s">
        <v>786</v>
      </c>
      <c r="D222" s="3" t="s">
        <v>810</v>
      </c>
      <c r="E222" s="3" t="s">
        <v>715</v>
      </c>
      <c r="F222" s="3" t="s">
        <v>800</v>
      </c>
      <c r="G222" s="3" t="str">
        <f aca="false">IF(LEFT(D222,3)="09S",LEFT(D222,14),D222)</f>
        <v>Y2U6HX5T800174B</v>
      </c>
      <c r="H222" s="9" t="str">
        <f aca="false">IF(COUNTIF(Conferência!$A$4:$A$336,F222)=0,"",IF(COUNTIFS(Conferência!$A$4:$A$336,F222,Conferência!$D$4:$D$336,G222)&gt;0,"Confere","Falta no Word"))</f>
        <v/>
      </c>
      <c r="I222" s="3"/>
    </row>
    <row r="223" customFormat="false" ht="15" hidden="false" customHeight="false" outlineLevel="0" collapsed="false">
      <c r="A223" s="3" t="s">
        <v>712</v>
      </c>
      <c r="B223" s="3" t="s">
        <v>785</v>
      </c>
      <c r="C223" s="3" t="s">
        <v>786</v>
      </c>
      <c r="D223" s="3" t="s">
        <v>811</v>
      </c>
      <c r="E223" s="3" t="s">
        <v>715</v>
      </c>
      <c r="F223" s="3" t="s">
        <v>800</v>
      </c>
      <c r="G223" s="3" t="str">
        <f aca="false">IF(LEFT(D223,3)="09S",LEFT(D223,14),D223)</f>
        <v>Y2U6HX5TB01702H</v>
      </c>
      <c r="H223" s="9" t="str">
        <f aca="false">IF(COUNTIF(Conferência!$A$4:$A$336,F223)=0,"",IF(COUNTIFS(Conferência!$A$4:$A$336,F223,Conferência!$D$4:$D$336,G223)&gt;0,"Confere","Falta no Word"))</f>
        <v/>
      </c>
      <c r="I223" s="3"/>
    </row>
    <row r="224" customFormat="false" ht="15" hidden="false" customHeight="false" outlineLevel="0" collapsed="false">
      <c r="A224" s="3" t="s">
        <v>712</v>
      </c>
      <c r="B224" s="3" t="s">
        <v>785</v>
      </c>
      <c r="C224" s="3" t="s">
        <v>786</v>
      </c>
      <c r="D224" s="3" t="s">
        <v>812</v>
      </c>
      <c r="E224" s="3" t="s">
        <v>715</v>
      </c>
      <c r="F224" s="3" t="s">
        <v>800</v>
      </c>
      <c r="G224" s="3" t="str">
        <f aca="false">IF(LEFT(D224,3)="09S",LEFT(D224,14),D224)</f>
        <v>Y2U6HX5T800151E</v>
      </c>
      <c r="H224" s="9" t="str">
        <f aca="false">IF(COUNTIF(Conferência!$A$4:$A$336,F224)=0,"",IF(COUNTIFS(Conferência!$A$4:$A$336,F224,Conferência!$D$4:$D$336,G224)&gt;0,"Confere","Falta no Word"))</f>
        <v/>
      </c>
      <c r="I224" s="3"/>
    </row>
    <row r="225" customFormat="false" ht="15" hidden="false" customHeight="false" outlineLevel="0" collapsed="false">
      <c r="A225" s="3" t="s">
        <v>712</v>
      </c>
      <c r="B225" s="3" t="s">
        <v>785</v>
      </c>
      <c r="C225" s="3" t="s">
        <v>786</v>
      </c>
      <c r="D225" s="3" t="s">
        <v>813</v>
      </c>
      <c r="E225" s="3" t="s">
        <v>715</v>
      </c>
      <c r="F225" s="3" t="s">
        <v>800</v>
      </c>
      <c r="G225" s="3" t="str">
        <f aca="false">IF(LEFT(D225,3)="09S",LEFT(D225,14),D225)</f>
        <v>Y2U6HX5T800184F</v>
      </c>
      <c r="H225" s="9" t="str">
        <f aca="false">IF(COUNTIF(Conferência!$A$4:$A$336,F225)=0,"",IF(COUNTIFS(Conferência!$A$4:$A$336,F225,Conferência!$D$4:$D$336,G225)&gt;0,"Confere","Falta no Word"))</f>
        <v/>
      </c>
      <c r="I225" s="3"/>
    </row>
    <row r="226" customFormat="false" ht="15" hidden="false" customHeight="false" outlineLevel="0" collapsed="false">
      <c r="A226" s="3" t="s">
        <v>712</v>
      </c>
      <c r="B226" s="3" t="s">
        <v>785</v>
      </c>
      <c r="C226" s="3" t="s">
        <v>786</v>
      </c>
      <c r="D226" s="3" t="s">
        <v>814</v>
      </c>
      <c r="E226" s="3" t="s">
        <v>715</v>
      </c>
      <c r="F226" s="3" t="s">
        <v>800</v>
      </c>
      <c r="G226" s="3" t="str">
        <f aca="false">IF(LEFT(D226,3)="09S",LEFT(D226,14),D226)</f>
        <v>Y2U6HX5T801071F</v>
      </c>
      <c r="H226" s="9" t="str">
        <f aca="false">IF(COUNTIF(Conferência!$A$4:$A$336,F226)=0,"",IF(COUNTIFS(Conferência!$A$4:$A$336,F226,Conferência!$D$4:$D$336,G226)&gt;0,"Confere","Falta no Word"))</f>
        <v/>
      </c>
      <c r="I226" s="3"/>
    </row>
    <row r="227" customFormat="false" ht="15" hidden="false" customHeight="false" outlineLevel="0" collapsed="false">
      <c r="A227" s="3" t="s">
        <v>712</v>
      </c>
      <c r="B227" s="3" t="s">
        <v>785</v>
      </c>
      <c r="C227" s="3" t="s">
        <v>786</v>
      </c>
      <c r="D227" s="3" t="s">
        <v>815</v>
      </c>
      <c r="E227" s="3" t="s">
        <v>715</v>
      </c>
      <c r="F227" s="3" t="s">
        <v>800</v>
      </c>
      <c r="G227" s="3" t="str">
        <f aca="false">IF(LEFT(D227,3)="09S",LEFT(D227,14),D227)</f>
        <v>Y2U6HX5T801095A</v>
      </c>
      <c r="H227" s="9" t="str">
        <f aca="false">IF(COUNTIF(Conferência!$A$4:$A$336,F227)=0,"",IF(COUNTIFS(Conferência!$A$4:$A$336,F227,Conferência!$D$4:$D$336,G227)&gt;0,"Confere","Falta no Word"))</f>
        <v/>
      </c>
      <c r="I227" s="3"/>
    </row>
    <row r="228" customFormat="false" ht="15" hidden="false" customHeight="false" outlineLevel="0" collapsed="false">
      <c r="A228" s="3" t="s">
        <v>712</v>
      </c>
      <c r="B228" s="3" t="s">
        <v>785</v>
      </c>
      <c r="C228" s="3" t="s">
        <v>786</v>
      </c>
      <c r="D228" s="3" t="s">
        <v>816</v>
      </c>
      <c r="E228" s="3" t="s">
        <v>715</v>
      </c>
      <c r="F228" s="3" t="s">
        <v>800</v>
      </c>
      <c r="G228" s="3" t="str">
        <f aca="false">IF(LEFT(D228,3)="09S",LEFT(D228,14),D228)</f>
        <v>Y2U6HX5T800802J</v>
      </c>
      <c r="H228" s="9" t="str">
        <f aca="false">IF(COUNTIF(Conferência!$A$4:$A$336,F228)=0,"",IF(COUNTIFS(Conferência!$A$4:$A$336,F228,Conferência!$D$4:$D$336,G228)&gt;0,"Confere","Falta no Word"))</f>
        <v/>
      </c>
      <c r="I228" s="3"/>
    </row>
    <row r="229" customFormat="false" ht="15" hidden="false" customHeight="false" outlineLevel="0" collapsed="false">
      <c r="A229" s="3" t="s">
        <v>712</v>
      </c>
      <c r="B229" s="3" t="s">
        <v>785</v>
      </c>
      <c r="C229" s="3" t="s">
        <v>786</v>
      </c>
      <c r="D229" s="3" t="s">
        <v>817</v>
      </c>
      <c r="E229" s="3" t="s">
        <v>715</v>
      </c>
      <c r="F229" s="3" t="s">
        <v>800</v>
      </c>
      <c r="G229" s="3" t="str">
        <f aca="false">IF(LEFT(D229,3)="09S",LEFT(D229,14),D229)</f>
        <v>Y2U6HX5T802013A</v>
      </c>
      <c r="H229" s="9" t="str">
        <f aca="false">IF(COUNTIF(Conferência!$A$4:$A$336,F229)=0,"",IF(COUNTIFS(Conferência!$A$4:$A$336,F229,Conferência!$D$4:$D$336,G229)&gt;0,"Confere","Falta no Word"))</f>
        <v/>
      </c>
      <c r="I229" s="3"/>
    </row>
    <row r="230" customFormat="false" ht="15" hidden="false" customHeight="false" outlineLevel="0" collapsed="false">
      <c r="A230" s="3" t="s">
        <v>712</v>
      </c>
      <c r="B230" s="3" t="s">
        <v>785</v>
      </c>
      <c r="C230" s="3" t="s">
        <v>786</v>
      </c>
      <c r="D230" s="3" t="s">
        <v>818</v>
      </c>
      <c r="E230" s="3" t="s">
        <v>715</v>
      </c>
      <c r="F230" s="3" t="s">
        <v>800</v>
      </c>
      <c r="G230" s="3" t="str">
        <f aca="false">IF(LEFT(D230,3)="09S",LEFT(D230,14),D230)</f>
        <v>Y2U6HX5TB01444W</v>
      </c>
      <c r="H230" s="9" t="str">
        <f aca="false">IF(COUNTIF(Conferência!$A$4:$A$336,F230)=0,"",IF(COUNTIFS(Conferência!$A$4:$A$336,F230,Conferência!$D$4:$D$336,G230)&gt;0,"Confere","Falta no Word"))</f>
        <v/>
      </c>
      <c r="I230" s="3"/>
    </row>
    <row r="231" customFormat="false" ht="15" hidden="false" customHeight="false" outlineLevel="0" collapsed="false">
      <c r="A231" s="3" t="s">
        <v>712</v>
      </c>
      <c r="B231" s="3" t="s">
        <v>785</v>
      </c>
      <c r="C231" s="3" t="s">
        <v>786</v>
      </c>
      <c r="D231" s="3" t="s">
        <v>819</v>
      </c>
      <c r="E231" s="3" t="s">
        <v>715</v>
      </c>
      <c r="F231" s="3" t="s">
        <v>800</v>
      </c>
      <c r="G231" s="3" t="str">
        <f aca="false">IF(LEFT(D231,3)="09S",LEFT(D231,14),D231)</f>
        <v>Y2U6HX5T800322Z</v>
      </c>
      <c r="H231" s="9" t="str">
        <f aca="false">IF(COUNTIF(Conferência!$A$4:$A$336,F231)=0,"",IF(COUNTIFS(Conferência!$A$4:$A$336,F231,Conferência!$D$4:$D$336,G231)&gt;0,"Confere","Falta no Word"))</f>
        <v/>
      </c>
      <c r="I231" s="3"/>
    </row>
    <row r="232" customFormat="false" ht="15" hidden="false" customHeight="false" outlineLevel="0" collapsed="false">
      <c r="A232" s="3" t="s">
        <v>712</v>
      </c>
      <c r="B232" s="3" t="s">
        <v>785</v>
      </c>
      <c r="C232" s="3" t="s">
        <v>786</v>
      </c>
      <c r="D232" s="3" t="s">
        <v>820</v>
      </c>
      <c r="E232" s="3" t="s">
        <v>715</v>
      </c>
      <c r="F232" s="3" t="s">
        <v>800</v>
      </c>
      <c r="G232" s="3" t="str">
        <f aca="false">IF(LEFT(D232,3)="09S",LEFT(D232,14),D232)</f>
        <v>Y2U6HX5T800317X</v>
      </c>
      <c r="H232" s="9" t="str">
        <f aca="false">IF(COUNTIF(Conferência!$A$4:$A$336,F232)=0,"",IF(COUNTIFS(Conferência!$A$4:$A$336,F232,Conferência!$D$4:$D$336,G232)&gt;0,"Confere","Falta no Word"))</f>
        <v/>
      </c>
      <c r="I232" s="3"/>
    </row>
    <row r="233" customFormat="false" ht="15" hidden="false" customHeight="false" outlineLevel="0" collapsed="false">
      <c r="A233" s="3" t="s">
        <v>712</v>
      </c>
      <c r="B233" s="3" t="s">
        <v>785</v>
      </c>
      <c r="C233" s="3" t="s">
        <v>786</v>
      </c>
      <c r="D233" s="3" t="s">
        <v>821</v>
      </c>
      <c r="E233" s="3" t="s">
        <v>715</v>
      </c>
      <c r="F233" s="3" t="s">
        <v>800</v>
      </c>
      <c r="G233" s="3" t="str">
        <f aca="false">IF(LEFT(D233,3)="09S",LEFT(D233,14),D233)</f>
        <v>Y2U6HX5T800975X</v>
      </c>
      <c r="H233" s="9" t="str">
        <f aca="false">IF(COUNTIF(Conferência!$A$4:$A$336,F233)=0,"",IF(COUNTIFS(Conferência!$A$4:$A$336,F233,Conferência!$D$4:$D$336,G233)&gt;0,"Confere","Falta no Word"))</f>
        <v/>
      </c>
      <c r="I233" s="3"/>
    </row>
    <row r="234" customFormat="false" ht="15" hidden="false" customHeight="false" outlineLevel="0" collapsed="false">
      <c r="A234" s="3" t="s">
        <v>712</v>
      </c>
      <c r="B234" s="3" t="s">
        <v>785</v>
      </c>
      <c r="C234" s="3" t="s">
        <v>786</v>
      </c>
      <c r="D234" s="3" t="s">
        <v>822</v>
      </c>
      <c r="E234" s="3" t="s">
        <v>715</v>
      </c>
      <c r="F234" s="3" t="s">
        <v>800</v>
      </c>
      <c r="G234" s="3" t="str">
        <f aca="false">IF(LEFT(D234,3)="09S",LEFT(D234,14),D234)</f>
        <v>Y2U6HX5TB01662B</v>
      </c>
      <c r="H234" s="9" t="str">
        <f aca="false">IF(COUNTIF(Conferência!$A$4:$A$336,F234)=0,"",IF(COUNTIFS(Conferência!$A$4:$A$336,F234,Conferência!$D$4:$D$336,G234)&gt;0,"Confere","Falta no Word"))</f>
        <v/>
      </c>
      <c r="I234" s="3"/>
    </row>
    <row r="235" customFormat="false" ht="15" hidden="false" customHeight="false" outlineLevel="0" collapsed="false">
      <c r="A235" s="3" t="s">
        <v>712</v>
      </c>
      <c r="B235" s="3" t="s">
        <v>785</v>
      </c>
      <c r="C235" s="3" t="s">
        <v>786</v>
      </c>
      <c r="D235" s="3" t="s">
        <v>823</v>
      </c>
      <c r="E235" s="3" t="s">
        <v>715</v>
      </c>
      <c r="F235" s="3" t="s">
        <v>800</v>
      </c>
      <c r="G235" s="3" t="str">
        <f aca="false">IF(LEFT(D235,3)="09S",LEFT(D235,14),D235)</f>
        <v>Y2U6HX5T600974Z</v>
      </c>
      <c r="H235" s="9" t="str">
        <f aca="false">IF(COUNTIF(Conferência!$A$4:$A$336,F235)=0,"",IF(COUNTIFS(Conferência!$A$4:$A$336,F235,Conferência!$D$4:$D$336,G235)&gt;0,"Confere","Falta no Word"))</f>
        <v/>
      </c>
      <c r="I235" s="3"/>
    </row>
    <row r="236" customFormat="false" ht="15" hidden="false" customHeight="false" outlineLevel="0" collapsed="false">
      <c r="A236" s="3" t="s">
        <v>712</v>
      </c>
      <c r="B236" s="3" t="s">
        <v>785</v>
      </c>
      <c r="C236" s="3" t="s">
        <v>786</v>
      </c>
      <c r="D236" s="3" t="s">
        <v>824</v>
      </c>
      <c r="E236" s="3" t="s">
        <v>715</v>
      </c>
      <c r="F236" s="3" t="s">
        <v>800</v>
      </c>
      <c r="G236" s="3" t="str">
        <f aca="false">IF(LEFT(D236,3)="09S",LEFT(D236,14),D236)</f>
        <v>Y2U6HX5T802021N</v>
      </c>
      <c r="H236" s="9" t="str">
        <f aca="false">IF(COUNTIF(Conferência!$A$4:$A$336,F236)=0,"",IF(COUNTIFS(Conferência!$A$4:$A$336,F236,Conferência!$D$4:$D$336,G236)&gt;0,"Confere","Falta no Word"))</f>
        <v/>
      </c>
      <c r="I236" s="3"/>
    </row>
    <row r="237" customFormat="false" ht="15" hidden="false" customHeight="false" outlineLevel="0" collapsed="false">
      <c r="A237" s="3" t="s">
        <v>712</v>
      </c>
      <c r="B237" s="3" t="s">
        <v>785</v>
      </c>
      <c r="C237" s="3" t="s">
        <v>786</v>
      </c>
      <c r="D237" s="3" t="s">
        <v>825</v>
      </c>
      <c r="E237" s="3" t="s">
        <v>715</v>
      </c>
      <c r="F237" s="3" t="s">
        <v>800</v>
      </c>
      <c r="G237" s="3" t="str">
        <f aca="false">IF(LEFT(D237,3)="09S",LEFT(D237,14),D237)</f>
        <v>Y2U6HX5T503847V</v>
      </c>
      <c r="H237" s="9" t="str">
        <f aca="false">IF(COUNTIF(Conferência!$A$4:$A$336,F237)=0,"",IF(COUNTIFS(Conferência!$A$4:$A$336,F237,Conferência!$D$4:$D$336,G237)&gt;0,"Confere","Falta no Word"))</f>
        <v/>
      </c>
      <c r="I237" s="3"/>
    </row>
    <row r="238" customFormat="false" ht="15" hidden="false" customHeight="false" outlineLevel="0" collapsed="false">
      <c r="A238" s="3" t="s">
        <v>712</v>
      </c>
      <c r="B238" s="3" t="s">
        <v>785</v>
      </c>
      <c r="C238" s="3" t="s">
        <v>786</v>
      </c>
      <c r="D238" s="3" t="s">
        <v>826</v>
      </c>
      <c r="E238" s="3" t="s">
        <v>715</v>
      </c>
      <c r="F238" s="3" t="s">
        <v>800</v>
      </c>
      <c r="G238" s="3" t="str">
        <f aca="false">IF(LEFT(D238,3)="09S",LEFT(D238,14),D238)</f>
        <v>Y2U6HX5T801197K</v>
      </c>
      <c r="H238" s="9" t="str">
        <f aca="false">IF(COUNTIF(Conferência!$A$4:$A$336,F238)=0,"",IF(COUNTIFS(Conferência!$A$4:$A$336,F238,Conferência!$D$4:$D$336,G238)&gt;0,"Confere","Falta no Word"))</f>
        <v/>
      </c>
      <c r="I238" s="3"/>
    </row>
    <row r="239" customFormat="false" ht="15" hidden="false" customHeight="false" outlineLevel="0" collapsed="false">
      <c r="A239" s="3" t="s">
        <v>712</v>
      </c>
      <c r="B239" s="3" t="s">
        <v>785</v>
      </c>
      <c r="C239" s="3" t="s">
        <v>786</v>
      </c>
      <c r="D239" s="3" t="s">
        <v>827</v>
      </c>
      <c r="E239" s="3" t="s">
        <v>715</v>
      </c>
      <c r="F239" s="3" t="s">
        <v>800</v>
      </c>
      <c r="G239" s="3" t="str">
        <f aca="false">IF(LEFT(D239,3)="09S",LEFT(D239,14),D239)</f>
        <v>Y2U6HX5T800954Y</v>
      </c>
      <c r="H239" s="9" t="str">
        <f aca="false">IF(COUNTIF(Conferência!$A$4:$A$336,F239)=0,"",IF(COUNTIFS(Conferência!$A$4:$A$336,F239,Conferência!$D$4:$D$336,G239)&gt;0,"Confere","Falta no Word"))</f>
        <v/>
      </c>
      <c r="I239" s="3"/>
    </row>
    <row r="240" customFormat="false" ht="15" hidden="false" customHeight="false" outlineLevel="0" collapsed="false">
      <c r="A240" s="3" t="s">
        <v>712</v>
      </c>
      <c r="B240" s="3" t="s">
        <v>785</v>
      </c>
      <c r="C240" s="3" t="s">
        <v>786</v>
      </c>
      <c r="D240" s="3" t="s">
        <v>828</v>
      </c>
      <c r="E240" s="3" t="s">
        <v>715</v>
      </c>
      <c r="F240" s="3" t="s">
        <v>800</v>
      </c>
      <c r="G240" s="3" t="str">
        <f aca="false">IF(LEFT(D240,3)="09S",LEFT(D240,14),D240)</f>
        <v>Y2U6HX5T800208E</v>
      </c>
      <c r="H240" s="9" t="str">
        <f aca="false">IF(COUNTIF(Conferência!$A$4:$A$336,F240)=0,"",IF(COUNTIFS(Conferência!$A$4:$A$336,F240,Conferência!$D$4:$D$336,G240)&gt;0,"Confere","Falta no Word"))</f>
        <v/>
      </c>
      <c r="I240" s="3"/>
    </row>
    <row r="241" customFormat="false" ht="15" hidden="false" customHeight="false" outlineLevel="0" collapsed="false">
      <c r="A241" s="3" t="s">
        <v>712</v>
      </c>
      <c r="B241" s="3" t="s">
        <v>785</v>
      </c>
      <c r="C241" s="3" t="s">
        <v>786</v>
      </c>
      <c r="D241" s="3" t="s">
        <v>829</v>
      </c>
      <c r="E241" s="3" t="s">
        <v>715</v>
      </c>
      <c r="F241" s="3" t="s">
        <v>830</v>
      </c>
      <c r="G241" s="3" t="str">
        <f aca="false">IF(LEFT(D241,3)="09S",LEFT(D241,14),D241)</f>
        <v>Y2U6HX5T800018T</v>
      </c>
      <c r="H241" s="9" t="str">
        <f aca="false">IF(COUNTIF(Conferência!$A$4:$A$336,F241)=0,"",IF(COUNTIFS(Conferência!$A$4:$A$336,F241,Conferência!$D$4:$D$336,G241)&gt;0,"Confere","Falta no Word"))</f>
        <v/>
      </c>
      <c r="I241" s="3"/>
    </row>
    <row r="242" customFormat="false" ht="15" hidden="false" customHeight="false" outlineLevel="0" collapsed="false">
      <c r="A242" s="3" t="s">
        <v>712</v>
      </c>
      <c r="B242" s="3" t="s">
        <v>785</v>
      </c>
      <c r="C242" s="3" t="s">
        <v>786</v>
      </c>
      <c r="D242" s="3" t="s">
        <v>831</v>
      </c>
      <c r="E242" s="3" t="s">
        <v>715</v>
      </c>
      <c r="F242" s="3" t="s">
        <v>830</v>
      </c>
      <c r="G242" s="3" t="str">
        <f aca="false">IF(LEFT(D242,3)="09S",LEFT(D242,14),D242)</f>
        <v>Y2U6HX5T801001V</v>
      </c>
      <c r="H242" s="9" t="str">
        <f aca="false">IF(COUNTIF(Conferência!$A$4:$A$336,F242)=0,"",IF(COUNTIFS(Conferência!$A$4:$A$336,F242,Conferência!$D$4:$D$336,G242)&gt;0,"Confere","Falta no Word"))</f>
        <v/>
      </c>
      <c r="I242" s="3"/>
    </row>
    <row r="243" customFormat="false" ht="15" hidden="false" customHeight="false" outlineLevel="0" collapsed="false">
      <c r="A243" s="3" t="s">
        <v>712</v>
      </c>
      <c r="B243" s="3" t="s">
        <v>785</v>
      </c>
      <c r="C243" s="3" t="s">
        <v>786</v>
      </c>
      <c r="D243" s="3" t="s">
        <v>832</v>
      </c>
      <c r="E243" s="3" t="s">
        <v>715</v>
      </c>
      <c r="F243" s="3" t="s">
        <v>830</v>
      </c>
      <c r="G243" s="3" t="str">
        <f aca="false">IF(LEFT(D243,3)="09S",LEFT(D243,14),D243)</f>
        <v>Y2U6HX5T802156D</v>
      </c>
      <c r="H243" s="9" t="str">
        <f aca="false">IF(COUNTIF(Conferência!$A$4:$A$336,F243)=0,"",IF(COUNTIFS(Conferência!$A$4:$A$336,F243,Conferência!$D$4:$D$336,G243)&gt;0,"Confere","Falta no Word"))</f>
        <v/>
      </c>
      <c r="I243" s="3"/>
    </row>
    <row r="244" customFormat="false" ht="15" hidden="false" customHeight="false" outlineLevel="0" collapsed="false">
      <c r="A244" s="3" t="s">
        <v>712</v>
      </c>
      <c r="B244" s="3" t="s">
        <v>785</v>
      </c>
      <c r="C244" s="3" t="s">
        <v>786</v>
      </c>
      <c r="D244" s="3" t="s">
        <v>833</v>
      </c>
      <c r="E244" s="3" t="s">
        <v>715</v>
      </c>
      <c r="F244" s="3" t="s">
        <v>830</v>
      </c>
      <c r="G244" s="3" t="str">
        <f aca="false">IF(LEFT(D244,3)="09S",LEFT(D244,14),D244)</f>
        <v>Y2U6HX5T802202R</v>
      </c>
      <c r="H244" s="9" t="str">
        <f aca="false">IF(COUNTIF(Conferência!$A$4:$A$336,F244)=0,"",IF(COUNTIFS(Conferência!$A$4:$A$336,F244,Conferência!$D$4:$D$336,G244)&gt;0,"Confere","Falta no Word"))</f>
        <v/>
      </c>
      <c r="I244" s="3"/>
    </row>
    <row r="245" customFormat="false" ht="15" hidden="false" customHeight="false" outlineLevel="0" collapsed="false">
      <c r="A245" s="3" t="s">
        <v>712</v>
      </c>
      <c r="B245" s="3" t="s">
        <v>785</v>
      </c>
      <c r="C245" s="3" t="s">
        <v>786</v>
      </c>
      <c r="D245" s="3" t="s">
        <v>834</v>
      </c>
      <c r="E245" s="3" t="s">
        <v>715</v>
      </c>
      <c r="F245" s="3" t="s">
        <v>830</v>
      </c>
      <c r="G245" s="3" t="str">
        <f aca="false">IF(LEFT(D245,3)="09S",LEFT(D245,14),D245)</f>
        <v>Y2U6HX5T802004V</v>
      </c>
      <c r="H245" s="9" t="str">
        <f aca="false">IF(COUNTIF(Conferência!$A$4:$A$336,F245)=0,"",IF(COUNTIFS(Conferência!$A$4:$A$336,F245,Conferência!$D$4:$D$336,G245)&gt;0,"Confere","Falta no Word"))</f>
        <v/>
      </c>
      <c r="I245" s="3"/>
    </row>
    <row r="246" customFormat="false" ht="15" hidden="false" customHeight="false" outlineLevel="0" collapsed="false">
      <c r="A246" s="3" t="s">
        <v>712</v>
      </c>
      <c r="B246" s="3" t="s">
        <v>785</v>
      </c>
      <c r="C246" s="3" t="s">
        <v>786</v>
      </c>
      <c r="D246" s="3" t="s">
        <v>835</v>
      </c>
      <c r="E246" s="3" t="s">
        <v>715</v>
      </c>
      <c r="F246" s="3" t="s">
        <v>830</v>
      </c>
      <c r="G246" s="3" t="str">
        <f aca="false">IF(LEFT(D246,3)="09S",LEFT(D246,14),D246)</f>
        <v>Y2U6HX5T602265Z</v>
      </c>
      <c r="H246" s="9" t="str">
        <f aca="false">IF(COUNTIF(Conferência!$A$4:$A$336,F246)=0,"",IF(COUNTIFS(Conferência!$A$4:$A$336,F246,Conferência!$D$4:$D$336,G246)&gt;0,"Confere","Falta no Word"))</f>
        <v/>
      </c>
      <c r="I246" s="3"/>
    </row>
    <row r="247" customFormat="false" ht="15" hidden="false" customHeight="false" outlineLevel="0" collapsed="false">
      <c r="A247" s="3" t="s">
        <v>712</v>
      </c>
      <c r="B247" s="3" t="s">
        <v>785</v>
      </c>
      <c r="C247" s="3" t="s">
        <v>786</v>
      </c>
      <c r="D247" s="3" t="s">
        <v>836</v>
      </c>
      <c r="E247" s="3" t="s">
        <v>715</v>
      </c>
      <c r="F247" s="3" t="s">
        <v>830</v>
      </c>
      <c r="G247" s="3" t="str">
        <f aca="false">IF(LEFT(D247,3)="09S",LEFT(D247,14),D247)</f>
        <v>Y2U6HX5T503755L</v>
      </c>
      <c r="H247" s="9" t="str">
        <f aca="false">IF(COUNTIF(Conferência!$A$4:$A$336,F247)=0,"",IF(COUNTIFS(Conferência!$A$4:$A$336,F247,Conferência!$D$4:$D$336,G247)&gt;0,"Confere","Falta no Word"))</f>
        <v/>
      </c>
      <c r="I247" s="3"/>
    </row>
    <row r="248" customFormat="false" ht="15" hidden="false" customHeight="false" outlineLevel="0" collapsed="false">
      <c r="A248" s="3" t="s">
        <v>712</v>
      </c>
      <c r="B248" s="3" t="s">
        <v>785</v>
      </c>
      <c r="C248" s="3" t="s">
        <v>786</v>
      </c>
      <c r="D248" s="3" t="s">
        <v>837</v>
      </c>
      <c r="E248" s="3" t="s">
        <v>715</v>
      </c>
      <c r="F248" s="3" t="s">
        <v>830</v>
      </c>
      <c r="G248" s="3" t="str">
        <f aca="false">IF(LEFT(D248,3)="09S",LEFT(D248,14),D248)</f>
        <v>Y2U6HX5T800195A</v>
      </c>
      <c r="H248" s="9" t="str">
        <f aca="false">IF(COUNTIF(Conferência!$A$4:$A$336,F248)=0,"",IF(COUNTIFS(Conferência!$A$4:$A$336,F248,Conferência!$D$4:$D$336,G248)&gt;0,"Confere","Falta no Word"))</f>
        <v/>
      </c>
      <c r="I248" s="3"/>
    </row>
    <row r="249" customFormat="false" ht="15" hidden="false" customHeight="false" outlineLevel="0" collapsed="false">
      <c r="A249" s="3" t="s">
        <v>712</v>
      </c>
      <c r="B249" s="3" t="s">
        <v>785</v>
      </c>
      <c r="C249" s="3" t="s">
        <v>786</v>
      </c>
      <c r="D249" s="3" t="s">
        <v>838</v>
      </c>
      <c r="E249" s="3" t="s">
        <v>715</v>
      </c>
      <c r="F249" s="3" t="s">
        <v>830</v>
      </c>
      <c r="G249" s="3" t="str">
        <f aca="false">IF(LEFT(D249,3)="09S",LEFT(D249,14),D249)</f>
        <v>Y2U6HX5T802197R</v>
      </c>
      <c r="H249" s="9" t="str">
        <f aca="false">IF(COUNTIF(Conferência!$A$4:$A$336,F249)=0,"",IF(COUNTIFS(Conferência!$A$4:$A$336,F249,Conferência!$D$4:$D$336,G249)&gt;0,"Confere","Falta no Word"))</f>
        <v/>
      </c>
      <c r="I249" s="3"/>
    </row>
    <row r="250" customFormat="false" ht="15" hidden="false" customHeight="false" outlineLevel="0" collapsed="false">
      <c r="A250" s="3" t="s">
        <v>712</v>
      </c>
      <c r="B250" s="3" t="s">
        <v>785</v>
      </c>
      <c r="C250" s="3" t="s">
        <v>786</v>
      </c>
      <c r="D250" s="3" t="s">
        <v>839</v>
      </c>
      <c r="E250" s="3" t="s">
        <v>715</v>
      </c>
      <c r="F250" s="3" t="s">
        <v>830</v>
      </c>
      <c r="G250" s="3" t="str">
        <f aca="false">IF(LEFT(D250,3)="09S",LEFT(D250,14),D250)</f>
        <v>Y2U6HX5T801052H</v>
      </c>
      <c r="H250" s="9" t="str">
        <f aca="false">IF(COUNTIF(Conferência!$A$4:$A$336,F250)=0,"",IF(COUNTIFS(Conferência!$A$4:$A$336,F250,Conferência!$D$4:$D$336,G250)&gt;0,"Confere","Falta no Word"))</f>
        <v/>
      </c>
      <c r="I250" s="3"/>
    </row>
    <row r="251" customFormat="false" ht="15" hidden="false" customHeight="false" outlineLevel="0" collapsed="false">
      <c r="A251" s="3" t="s">
        <v>712</v>
      </c>
      <c r="B251" s="3" t="s">
        <v>840</v>
      </c>
      <c r="C251" s="3" t="s">
        <v>841</v>
      </c>
      <c r="D251" s="3" t="s">
        <v>842</v>
      </c>
      <c r="E251" s="3" t="s">
        <v>715</v>
      </c>
      <c r="F251" s="3" t="s">
        <v>843</v>
      </c>
      <c r="G251" s="3" t="str">
        <f aca="false">IF(LEFT(D251,3)="09S",LEFT(D251,14),D251)</f>
        <v>1WMVR410552173</v>
      </c>
      <c r="H251" s="9" t="str">
        <f aca="false">IF(COUNTIF(Conferência!$A$4:$A$336,F251)=0,"",IF(COUNTIFS(Conferência!$A$4:$A$336,F251,Conferência!$D$4:$D$336,G251)&gt;0,"Confere","Falta no Word"))</f>
        <v/>
      </c>
      <c r="I251" s="3"/>
    </row>
    <row r="252" customFormat="false" ht="15" hidden="false" customHeight="false" outlineLevel="0" collapsed="false">
      <c r="A252" s="3" t="s">
        <v>712</v>
      </c>
      <c r="B252" s="3" t="s">
        <v>840</v>
      </c>
      <c r="C252" s="3" t="s">
        <v>841</v>
      </c>
      <c r="D252" s="3" t="s">
        <v>844</v>
      </c>
      <c r="E252" s="3" t="s">
        <v>715</v>
      </c>
      <c r="F252" s="3" t="s">
        <v>843</v>
      </c>
      <c r="G252" s="3" t="str">
        <f aca="false">IF(LEFT(D252,3)="09S",LEFT(D252,14),D252)</f>
        <v>1WMVR4104R2173</v>
      </c>
      <c r="H252" s="9" t="str">
        <f aca="false">IF(COUNTIF(Conferência!$A$4:$A$336,F252)=0,"",IF(COUNTIFS(Conferência!$A$4:$A$336,F252,Conferência!$D$4:$D$336,G252)&gt;0,"Confere","Falta no Word"))</f>
        <v/>
      </c>
      <c r="I252" s="3"/>
    </row>
    <row r="253" customFormat="false" ht="15" hidden="false" customHeight="false" outlineLevel="0" collapsed="false">
      <c r="A253" s="3" t="s">
        <v>712</v>
      </c>
      <c r="B253" s="3" t="s">
        <v>840</v>
      </c>
      <c r="C253" s="3" t="s">
        <v>841</v>
      </c>
      <c r="D253" s="3" t="s">
        <v>845</v>
      </c>
      <c r="E253" s="3" t="s">
        <v>715</v>
      </c>
      <c r="F253" s="3" t="s">
        <v>843</v>
      </c>
      <c r="G253" s="3" t="str">
        <f aca="false">IF(LEFT(D253,3)="09S",LEFT(D253,14),D253)</f>
        <v>1WMVR410F82234</v>
      </c>
      <c r="H253" s="9" t="str">
        <f aca="false">IF(COUNTIF(Conferência!$A$4:$A$336,F253)=0,"",IF(COUNTIFS(Conferência!$A$4:$A$336,F253,Conferência!$D$4:$D$336,G253)&gt;0,"Confere","Falta no Word"))</f>
        <v/>
      </c>
      <c r="I253" s="3"/>
    </row>
    <row r="254" customFormat="false" ht="15" hidden="false" customHeight="false" outlineLevel="0" collapsed="false">
      <c r="A254" s="3" t="s">
        <v>712</v>
      </c>
      <c r="B254" s="3" t="s">
        <v>840</v>
      </c>
      <c r="C254" s="3" t="s">
        <v>841</v>
      </c>
      <c r="D254" s="3" t="s">
        <v>846</v>
      </c>
      <c r="E254" s="3" t="s">
        <v>715</v>
      </c>
      <c r="F254" s="3" t="s">
        <v>843</v>
      </c>
      <c r="G254" s="3" t="str">
        <f aca="false">IF(LEFT(D254,3)="09S",LEFT(D254,14),D254)</f>
        <v>1WMVR410472173</v>
      </c>
      <c r="H254" s="9" t="str">
        <f aca="false">IF(COUNTIF(Conferência!$A$4:$A$336,F254)=0,"",IF(COUNTIFS(Conferência!$A$4:$A$336,F254,Conferência!$D$4:$D$336,G254)&gt;0,"Confere","Falta no Word"))</f>
        <v/>
      </c>
      <c r="I254" s="3"/>
    </row>
    <row r="255" customFormat="false" ht="15" hidden="false" customHeight="false" outlineLevel="0" collapsed="false">
      <c r="A255" s="3" t="s">
        <v>712</v>
      </c>
      <c r="B255" s="3" t="s">
        <v>840</v>
      </c>
      <c r="C255" s="3" t="s">
        <v>841</v>
      </c>
      <c r="D255" s="3" t="s">
        <v>847</v>
      </c>
      <c r="E255" s="3" t="s">
        <v>715</v>
      </c>
      <c r="F255" s="3" t="s">
        <v>843</v>
      </c>
      <c r="G255" s="3" t="str">
        <f aca="false">IF(LEFT(D255,3)="09S",LEFT(D255,14),D255)</f>
        <v>1WMVR410JX2243</v>
      </c>
      <c r="H255" s="9" t="str">
        <f aca="false">IF(COUNTIF(Conferência!$A$4:$A$336,F255)=0,"",IF(COUNTIFS(Conferência!$A$4:$A$336,F255,Conferência!$D$4:$D$336,G255)&gt;0,"Confere","Falta no Word"))</f>
        <v/>
      </c>
      <c r="I255" s="3"/>
    </row>
    <row r="256" customFormat="false" ht="15" hidden="false" customHeight="false" outlineLevel="0" collapsed="false">
      <c r="A256" s="3" t="s">
        <v>712</v>
      </c>
      <c r="B256" s="3" t="s">
        <v>713</v>
      </c>
      <c r="C256" s="3" t="s">
        <v>717</v>
      </c>
      <c r="D256" s="3" t="s">
        <v>602</v>
      </c>
      <c r="E256" s="3" t="s">
        <v>715</v>
      </c>
      <c r="F256" s="3" t="s">
        <v>18</v>
      </c>
      <c r="G256" s="3" t="str">
        <f aca="false">IF(LEFT(D256,3)="09S",LEFT(D256,14),D256)</f>
        <v>09S29QANC07320</v>
      </c>
      <c r="H256" s="9" t="str">
        <f aca="false">IF(COUNTIF(Conferência!$A$4:$A$336,F256)=0,"",IF(COUNTIFS(Conferência!$A$4:$A$336,F256,Conferência!$D$4:$D$336,G256)&gt;0,"Confere","Falta no Word"))</f>
        <v>Confere</v>
      </c>
      <c r="I256" s="3"/>
    </row>
    <row r="257" customFormat="false" ht="15" hidden="false" customHeight="false" outlineLevel="0" collapsed="false">
      <c r="A257" s="3" t="s">
        <v>712</v>
      </c>
      <c r="B257" s="3" t="s">
        <v>713</v>
      </c>
      <c r="C257" s="3" t="s">
        <v>717</v>
      </c>
      <c r="D257" s="3" t="s">
        <v>611</v>
      </c>
      <c r="E257" s="3" t="s">
        <v>715</v>
      </c>
      <c r="F257" s="3" t="s">
        <v>18</v>
      </c>
      <c r="G257" s="3" t="str">
        <f aca="false">IF(LEFT(D257,3)="09S",LEFT(D257,14),D257)</f>
        <v>09S29QAR110542</v>
      </c>
      <c r="H257" s="9" t="str">
        <f aca="false">IF(COUNTIF(Conferência!$A$4:$A$336,F257)=0,"",IF(COUNTIFS(Conferência!$A$4:$A$336,F257,Conferência!$D$4:$D$336,G257)&gt;0,"Confere","Falta no Word"))</f>
        <v>Confere</v>
      </c>
      <c r="I257" s="3"/>
    </row>
    <row r="258" customFormat="false" ht="15" hidden="false" customHeight="false" outlineLevel="0" collapsed="false">
      <c r="A258" s="3" t="s">
        <v>712</v>
      </c>
      <c r="B258" s="3" t="s">
        <v>713</v>
      </c>
      <c r="C258" s="3" t="s">
        <v>717</v>
      </c>
      <c r="D258" s="3" t="s">
        <v>609</v>
      </c>
      <c r="E258" s="3" t="s">
        <v>715</v>
      </c>
      <c r="F258" s="3" t="s">
        <v>18</v>
      </c>
      <c r="G258" s="3" t="str">
        <f aca="false">IF(LEFT(D258,3)="09S",LEFT(D258,14),D258)</f>
        <v>09S29QAR110712</v>
      </c>
      <c r="H258" s="9" t="str">
        <f aca="false">IF(COUNTIF(Conferência!$A$4:$A$336,F258)=0,"",IF(COUNTIFS(Conferência!$A$4:$A$336,F258,Conferência!$D$4:$D$336,G258)&gt;0,"Confere","Falta no Word"))</f>
        <v>Confere</v>
      </c>
      <c r="I258" s="3"/>
    </row>
    <row r="259" customFormat="false" ht="15" hidden="false" customHeight="false" outlineLevel="0" collapsed="false">
      <c r="A259" s="3" t="s">
        <v>712</v>
      </c>
      <c r="B259" s="3" t="s">
        <v>713</v>
      </c>
      <c r="C259" s="3" t="s">
        <v>717</v>
      </c>
      <c r="D259" s="3" t="s">
        <v>594</v>
      </c>
      <c r="E259" s="3" t="s">
        <v>715</v>
      </c>
      <c r="F259" s="3" t="s">
        <v>18</v>
      </c>
      <c r="G259" s="3" t="str">
        <f aca="false">IF(LEFT(D259,3)="09S",LEFT(D259,14),D259)</f>
        <v>09S29QAR110924</v>
      </c>
      <c r="H259" s="9" t="str">
        <f aca="false">IF(COUNTIF(Conferência!$A$4:$A$336,F259)=0,"",IF(COUNTIFS(Conferência!$A$4:$A$336,F259,Conferência!$D$4:$D$336,G259)&gt;0,"Confere","Falta no Word"))</f>
        <v>Confere</v>
      </c>
      <c r="I259" s="3"/>
    </row>
    <row r="260" customFormat="false" ht="15" hidden="false" customHeight="false" outlineLevel="0" collapsed="false">
      <c r="A260" s="3" t="s">
        <v>712</v>
      </c>
      <c r="B260" s="3" t="s">
        <v>713</v>
      </c>
      <c r="C260" s="3" t="s">
        <v>720</v>
      </c>
      <c r="D260" s="3" t="s">
        <v>848</v>
      </c>
      <c r="E260" s="3" t="s">
        <v>715</v>
      </c>
      <c r="F260" s="3" t="s">
        <v>18</v>
      </c>
      <c r="G260" s="3" t="str">
        <f aca="false">IF(LEFT(D260,3)="09S",LEFT(D260,14),D260)</f>
        <v>09S29QBR711965</v>
      </c>
      <c r="H260" s="9" t="str">
        <f aca="false">IF(COUNTIF(Conferência!$A$4:$A$336,F260)=0,"",IF(COUNTIFS(Conferência!$A$4:$A$336,F260,Conferência!$D$4:$D$336,G260)&gt;0,"Confere","Falta no Word"))</f>
        <v>Confere</v>
      </c>
      <c r="I260" s="3"/>
    </row>
    <row r="261" customFormat="false" ht="15" hidden="false" customHeight="false" outlineLevel="0" collapsed="false">
      <c r="A261" s="3" t="s">
        <v>712</v>
      </c>
      <c r="B261" s="3" t="s">
        <v>713</v>
      </c>
      <c r="C261" s="3" t="s">
        <v>720</v>
      </c>
      <c r="D261" s="3" t="s">
        <v>849</v>
      </c>
      <c r="E261" s="3" t="s">
        <v>715</v>
      </c>
      <c r="F261" s="3" t="s">
        <v>18</v>
      </c>
      <c r="G261" s="3" t="str">
        <f aca="false">IF(LEFT(D261,3)="09S",LEFT(D261,14),D261)</f>
        <v>09S29QBR811679</v>
      </c>
      <c r="H261" s="9" t="str">
        <f aca="false">IF(COUNTIF(Conferência!$A$4:$A$336,F261)=0,"",IF(COUNTIFS(Conferência!$A$4:$A$336,F261,Conferência!$D$4:$D$336,G261)&gt;0,"Confere","Falta no Word"))</f>
        <v>Confere</v>
      </c>
      <c r="I261" s="3"/>
    </row>
    <row r="262" customFormat="false" ht="15" hidden="false" customHeight="false" outlineLevel="0" collapsed="false">
      <c r="A262" s="3" t="s">
        <v>712</v>
      </c>
      <c r="B262" s="3" t="s">
        <v>713</v>
      </c>
      <c r="C262" s="3" t="s">
        <v>720</v>
      </c>
      <c r="D262" s="3" t="s">
        <v>850</v>
      </c>
      <c r="E262" s="3" t="s">
        <v>715</v>
      </c>
      <c r="F262" s="3" t="s">
        <v>18</v>
      </c>
      <c r="G262" s="3" t="str">
        <f aca="false">IF(LEFT(D262,3)="09S",LEFT(D262,14),D262)</f>
        <v>09S29QBR702113</v>
      </c>
      <c r="H262" s="9" t="str">
        <f aca="false">IF(COUNTIF(Conferência!$A$4:$A$336,F262)=0,"",IF(COUNTIFS(Conferência!$A$4:$A$336,F262,Conferência!$D$4:$D$336,G262)&gt;0,"Confere","Falta no Word"))</f>
        <v>Confere</v>
      </c>
      <c r="I262" s="3"/>
    </row>
    <row r="263" customFormat="false" ht="15" hidden="false" customHeight="false" outlineLevel="0" collapsed="false">
      <c r="A263" s="3" t="s">
        <v>712</v>
      </c>
      <c r="B263" s="3" t="s">
        <v>713</v>
      </c>
      <c r="C263" s="3" t="s">
        <v>720</v>
      </c>
      <c r="D263" s="3" t="s">
        <v>190</v>
      </c>
      <c r="E263" s="3" t="s">
        <v>715</v>
      </c>
      <c r="F263" s="3" t="s">
        <v>18</v>
      </c>
      <c r="G263" s="3" t="str">
        <f aca="false">IF(LEFT(D263,3)="09S",LEFT(D263,14),D263)</f>
        <v>09S29QBR712220</v>
      </c>
      <c r="H263" s="9" t="str">
        <f aca="false">IF(COUNTIF(Conferência!$A$4:$A$336,F263)=0,"",IF(COUNTIFS(Conferência!$A$4:$A$336,F263,Conferência!$D$4:$D$336,G263)&gt;0,"Confere","Falta no Word"))</f>
        <v>Falta no Word</v>
      </c>
      <c r="I263" s="3" t="s">
        <v>851</v>
      </c>
    </row>
    <row r="264" customFormat="false" ht="15" hidden="false" customHeight="false" outlineLevel="0" collapsed="false">
      <c r="A264" s="3" t="s">
        <v>712</v>
      </c>
      <c r="B264" s="3" t="s">
        <v>713</v>
      </c>
      <c r="C264" s="3" t="s">
        <v>720</v>
      </c>
      <c r="D264" s="3" t="s">
        <v>852</v>
      </c>
      <c r="E264" s="3" t="s">
        <v>715</v>
      </c>
      <c r="F264" s="3" t="s">
        <v>18</v>
      </c>
      <c r="G264" s="3" t="str">
        <f aca="false">IF(LEFT(D264,3)="09S",LEFT(D264,14),D264)</f>
        <v>09S29QBR812084</v>
      </c>
      <c r="H264" s="9" t="str">
        <f aca="false">IF(COUNTIF(Conferência!$A$4:$A$336,F264)=0,"",IF(COUNTIFS(Conferência!$A$4:$A$336,F264,Conferência!$D$4:$D$336,G264)&gt;0,"Confere","Falta no Word"))</f>
        <v>Confere</v>
      </c>
      <c r="I264" s="3"/>
    </row>
    <row r="265" customFormat="false" ht="15" hidden="false" customHeight="false" outlineLevel="0" collapsed="false">
      <c r="A265" s="3" t="s">
        <v>712</v>
      </c>
      <c r="B265" s="3" t="s">
        <v>713</v>
      </c>
      <c r="C265" s="3" t="s">
        <v>720</v>
      </c>
      <c r="D265" s="3" t="s">
        <v>853</v>
      </c>
      <c r="E265" s="3" t="s">
        <v>715</v>
      </c>
      <c r="F265" s="3" t="s">
        <v>18</v>
      </c>
      <c r="G265" s="3" t="str">
        <f aca="false">IF(LEFT(D265,3)="09S",LEFT(D265,14),D265)</f>
        <v>09S29QBR811864</v>
      </c>
      <c r="H265" s="9" t="str">
        <f aca="false">IF(COUNTIF(Conferência!$A$4:$A$336,F265)=0,"",IF(COUNTIFS(Conferência!$A$4:$A$336,F265,Conferência!$D$4:$D$336,G265)&gt;0,"Confere","Falta no Word"))</f>
        <v>Confere</v>
      </c>
      <c r="I265" s="3"/>
    </row>
    <row r="266" customFormat="false" ht="15" hidden="false" customHeight="false" outlineLevel="0" collapsed="false">
      <c r="A266" s="3" t="s">
        <v>712</v>
      </c>
      <c r="B266" s="3" t="s">
        <v>713</v>
      </c>
      <c r="C266" s="3" t="s">
        <v>720</v>
      </c>
      <c r="D266" s="3" t="s">
        <v>854</v>
      </c>
      <c r="E266" s="3" t="s">
        <v>715</v>
      </c>
      <c r="F266" s="3" t="s">
        <v>18</v>
      </c>
      <c r="G266" s="3" t="str">
        <f aca="false">IF(LEFT(D266,3)="09S",LEFT(D266,14),D266)</f>
        <v>09S29QBR811820</v>
      </c>
      <c r="H266" s="9" t="str">
        <f aca="false">IF(COUNTIF(Conferência!$A$4:$A$336,F266)=0,"",IF(COUNTIFS(Conferência!$A$4:$A$336,F266,Conferência!$D$4:$D$336,G266)&gt;0,"Confere","Falta no Word"))</f>
        <v>Confere</v>
      </c>
      <c r="I266" s="3"/>
    </row>
    <row r="267" customFormat="false" ht="15" hidden="false" customHeight="false" outlineLevel="0" collapsed="false">
      <c r="A267" s="3" t="s">
        <v>712</v>
      </c>
      <c r="B267" s="3" t="s">
        <v>713</v>
      </c>
      <c r="C267" s="3" t="s">
        <v>720</v>
      </c>
      <c r="D267" s="3" t="s">
        <v>855</v>
      </c>
      <c r="E267" s="3" t="s">
        <v>715</v>
      </c>
      <c r="F267" s="3" t="s">
        <v>18</v>
      </c>
      <c r="G267" s="3" t="str">
        <f aca="false">IF(LEFT(D267,3)="09S",LEFT(D267,14),D267)</f>
        <v>09S29QBR723294</v>
      </c>
      <c r="H267" s="9" t="str">
        <f aca="false">IF(COUNTIF(Conferência!$A$4:$A$336,F267)=0,"",IF(COUNTIFS(Conferência!$A$4:$A$336,F267,Conferência!$D$4:$D$336,G267)&gt;0,"Confere","Falta no Word"))</f>
        <v>Confere</v>
      </c>
      <c r="I267" s="3"/>
    </row>
    <row r="268" customFormat="false" ht="15" hidden="false" customHeight="false" outlineLevel="0" collapsed="false">
      <c r="A268" s="3" t="s">
        <v>712</v>
      </c>
      <c r="B268" s="3" t="s">
        <v>713</v>
      </c>
      <c r="C268" s="3" t="s">
        <v>720</v>
      </c>
      <c r="D268" s="3" t="s">
        <v>856</v>
      </c>
      <c r="E268" s="3" t="s">
        <v>715</v>
      </c>
      <c r="F268" s="3" t="s">
        <v>18</v>
      </c>
      <c r="G268" s="3" t="str">
        <f aca="false">IF(LEFT(D268,3)="09S",LEFT(D268,14),D268)</f>
        <v>09S29QBR723302</v>
      </c>
      <c r="H268" s="9" t="str">
        <f aca="false">IF(COUNTIF(Conferência!$A$4:$A$336,F268)=0,"",IF(COUNTIFS(Conferência!$A$4:$A$336,F268,Conferência!$D$4:$D$336,G268)&gt;0,"Confere","Falta no Word"))</f>
        <v>Confere</v>
      </c>
      <c r="I268" s="3"/>
    </row>
    <row r="269" customFormat="false" ht="15" hidden="false" customHeight="false" outlineLevel="0" collapsed="false">
      <c r="A269" s="3" t="s">
        <v>712</v>
      </c>
      <c r="B269" s="3" t="s">
        <v>713</v>
      </c>
      <c r="C269" s="3" t="s">
        <v>720</v>
      </c>
      <c r="D269" s="3" t="s">
        <v>857</v>
      </c>
      <c r="E269" s="3" t="s">
        <v>715</v>
      </c>
      <c r="F269" s="3" t="s">
        <v>18</v>
      </c>
      <c r="G269" s="3" t="str">
        <f aca="false">IF(LEFT(D269,3)="09S",LEFT(D269,14),D269)</f>
        <v>09S29QBR811681</v>
      </c>
      <c r="H269" s="9" t="str">
        <f aca="false">IF(COUNTIF(Conferência!$A$4:$A$336,F269)=0,"",IF(COUNTIFS(Conferência!$A$4:$A$336,F269,Conferência!$D$4:$D$336,G269)&gt;0,"Confere","Falta no Word"))</f>
        <v>Confere</v>
      </c>
      <c r="I269" s="3"/>
    </row>
    <row r="270" customFormat="false" ht="15" hidden="false" customHeight="false" outlineLevel="0" collapsed="false">
      <c r="A270" s="3" t="s">
        <v>712</v>
      </c>
      <c r="B270" s="3" t="s">
        <v>713</v>
      </c>
      <c r="C270" s="3" t="s">
        <v>720</v>
      </c>
      <c r="D270" s="3" t="s">
        <v>858</v>
      </c>
      <c r="E270" s="3" t="s">
        <v>715</v>
      </c>
      <c r="F270" s="3" t="s">
        <v>18</v>
      </c>
      <c r="G270" s="3" t="str">
        <f aca="false">IF(LEFT(D270,3)="09S",LEFT(D270,14),D270)</f>
        <v>09S29QBR810897</v>
      </c>
      <c r="H270" s="9" t="str">
        <f aca="false">IF(COUNTIF(Conferência!$A$4:$A$336,F270)=0,"",IF(COUNTIFS(Conferência!$A$4:$A$336,F270,Conferência!$D$4:$D$336,G270)&gt;0,"Confere","Falta no Word"))</f>
        <v>Confere</v>
      </c>
      <c r="I270" s="3"/>
    </row>
    <row r="271" customFormat="false" ht="15" hidden="false" customHeight="false" outlineLevel="0" collapsed="false">
      <c r="A271" s="3" t="s">
        <v>712</v>
      </c>
      <c r="B271" s="3" t="s">
        <v>713</v>
      </c>
      <c r="C271" s="3" t="s">
        <v>720</v>
      </c>
      <c r="D271" s="3" t="s">
        <v>859</v>
      </c>
      <c r="E271" s="3" t="s">
        <v>715</v>
      </c>
      <c r="F271" s="3" t="s">
        <v>18</v>
      </c>
      <c r="G271" s="3" t="str">
        <f aca="false">IF(LEFT(D271,3)="09S",LEFT(D271,14),D271)</f>
        <v>09S29QBR712930</v>
      </c>
      <c r="H271" s="9" t="str">
        <f aca="false">IF(COUNTIF(Conferência!$A$4:$A$336,F271)=0,"",IF(COUNTIFS(Conferência!$A$4:$A$336,F271,Conferência!$D$4:$D$336,G271)&gt;0,"Confere","Falta no Word"))</f>
        <v>Confere</v>
      </c>
      <c r="I271" s="3"/>
    </row>
    <row r="272" customFormat="false" ht="15" hidden="false" customHeight="false" outlineLevel="0" collapsed="false">
      <c r="A272" s="3" t="s">
        <v>712</v>
      </c>
      <c r="B272" s="3" t="s">
        <v>713</v>
      </c>
      <c r="C272" s="3" t="s">
        <v>720</v>
      </c>
      <c r="D272" s="3" t="s">
        <v>860</v>
      </c>
      <c r="E272" s="3" t="s">
        <v>715</v>
      </c>
      <c r="F272" s="3" t="s">
        <v>18</v>
      </c>
      <c r="G272" s="3" t="str">
        <f aca="false">IF(LEFT(D272,3)="09S",LEFT(D272,14),D272)</f>
        <v>09S29QBR702047</v>
      </c>
      <c r="H272" s="9" t="str">
        <f aca="false">IF(COUNTIF(Conferência!$A$4:$A$336,F272)=0,"",IF(COUNTIFS(Conferência!$A$4:$A$336,F272,Conferência!$D$4:$D$336,G272)&gt;0,"Confere","Falta no Word"))</f>
        <v>Confere</v>
      </c>
      <c r="I272" s="3"/>
    </row>
    <row r="273" customFormat="false" ht="15" hidden="false" customHeight="false" outlineLevel="0" collapsed="false">
      <c r="A273" s="3" t="s">
        <v>712</v>
      </c>
      <c r="B273" s="3" t="s">
        <v>713</v>
      </c>
      <c r="C273" s="3" t="s">
        <v>720</v>
      </c>
      <c r="D273" s="3" t="s">
        <v>861</v>
      </c>
      <c r="E273" s="3" t="s">
        <v>715</v>
      </c>
      <c r="F273" s="3" t="s">
        <v>18</v>
      </c>
      <c r="G273" s="3" t="str">
        <f aca="false">IF(LEFT(D273,3)="09S",LEFT(D273,14),D273)</f>
        <v>09S29QBR723438</v>
      </c>
      <c r="H273" s="9" t="str">
        <f aca="false">IF(COUNTIF(Conferência!$A$4:$A$336,F273)=0,"",IF(COUNTIFS(Conferência!$A$4:$A$336,F273,Conferência!$D$4:$D$336,G273)&gt;0,"Confere","Falta no Word"))</f>
        <v>Confere</v>
      </c>
      <c r="I273" s="3"/>
    </row>
    <row r="274" customFormat="false" ht="15" hidden="false" customHeight="false" outlineLevel="0" collapsed="false">
      <c r="A274" s="3" t="s">
        <v>712</v>
      </c>
      <c r="B274" s="3" t="s">
        <v>713</v>
      </c>
      <c r="C274" s="3" t="s">
        <v>720</v>
      </c>
      <c r="D274" s="3" t="s">
        <v>862</v>
      </c>
      <c r="E274" s="3" t="s">
        <v>715</v>
      </c>
      <c r="F274" s="3" t="s">
        <v>18</v>
      </c>
      <c r="G274" s="3" t="str">
        <f aca="false">IF(LEFT(D274,3)="09S",LEFT(D274,14),D274)</f>
        <v>09S29QAR804604</v>
      </c>
      <c r="H274" s="9" t="str">
        <f aca="false">IF(COUNTIF(Conferência!$A$4:$A$336,F274)=0,"",IF(COUNTIFS(Conferência!$A$4:$A$336,F274,Conferência!$D$4:$D$336,G274)&gt;0,"Confere","Falta no Word"))</f>
        <v>Confere</v>
      </c>
      <c r="I274" s="3"/>
    </row>
    <row r="275" customFormat="false" ht="15" hidden="false" customHeight="false" outlineLevel="0" collapsed="false">
      <c r="A275" s="3" t="s">
        <v>712</v>
      </c>
      <c r="B275" s="3" t="s">
        <v>713</v>
      </c>
      <c r="C275" s="3" t="s">
        <v>720</v>
      </c>
      <c r="D275" s="3" t="s">
        <v>863</v>
      </c>
      <c r="E275" s="3" t="s">
        <v>715</v>
      </c>
      <c r="F275" s="3" t="s">
        <v>18</v>
      </c>
      <c r="G275" s="3" t="str">
        <f aca="false">IF(LEFT(D275,3)="09S",LEFT(D275,14),D275)</f>
        <v>09S29QBR723139</v>
      </c>
      <c r="H275" s="9" t="str">
        <f aca="false">IF(COUNTIF(Conferência!$A$4:$A$336,F275)=0,"",IF(COUNTIFS(Conferência!$A$4:$A$336,F275,Conferência!$D$4:$D$336,G275)&gt;0,"Confere","Falta no Word"))</f>
        <v>Confere</v>
      </c>
      <c r="I275" s="3"/>
    </row>
    <row r="276" customFormat="false" ht="15" hidden="false" customHeight="false" outlineLevel="0" collapsed="false">
      <c r="A276" s="3" t="s">
        <v>712</v>
      </c>
      <c r="B276" s="3" t="s">
        <v>713</v>
      </c>
      <c r="C276" s="3" t="s">
        <v>720</v>
      </c>
      <c r="D276" s="3" t="s">
        <v>864</v>
      </c>
      <c r="E276" s="3" t="s">
        <v>715</v>
      </c>
      <c r="F276" s="3" t="s">
        <v>18</v>
      </c>
      <c r="G276" s="3" t="str">
        <f aca="false">IF(LEFT(D276,3)="09S",LEFT(D276,14),D276)</f>
        <v>09S29QBR811646</v>
      </c>
      <c r="H276" s="9" t="str">
        <f aca="false">IF(COUNTIF(Conferência!$A$4:$A$336,F276)=0,"",IF(COUNTIFS(Conferência!$A$4:$A$336,F276,Conferência!$D$4:$D$336,G276)&gt;0,"Confere","Falta no Word"))</f>
        <v>Confere</v>
      </c>
      <c r="I276" s="3"/>
    </row>
    <row r="277" customFormat="false" ht="15" hidden="false" customHeight="false" outlineLevel="0" collapsed="false">
      <c r="A277" s="3" t="s">
        <v>712</v>
      </c>
      <c r="B277" s="3" t="s">
        <v>713</v>
      </c>
      <c r="C277" s="3" t="s">
        <v>720</v>
      </c>
      <c r="D277" s="3" t="s">
        <v>865</v>
      </c>
      <c r="E277" s="3" t="s">
        <v>715</v>
      </c>
      <c r="F277" s="3" t="s">
        <v>18</v>
      </c>
      <c r="G277" s="3" t="str">
        <f aca="false">IF(LEFT(D277,3)="09S",LEFT(D277,14),D277)</f>
        <v>09S29QBR722497</v>
      </c>
      <c r="H277" s="9" t="str">
        <f aca="false">IF(COUNTIF(Conferência!$A$4:$A$336,F277)=0,"",IF(COUNTIFS(Conferência!$A$4:$A$336,F277,Conferência!$D$4:$D$336,G277)&gt;0,"Confere","Falta no Word"))</f>
        <v>Confere</v>
      </c>
      <c r="I277" s="3"/>
    </row>
    <row r="278" customFormat="false" ht="15" hidden="false" customHeight="false" outlineLevel="0" collapsed="false">
      <c r="A278" s="3" t="s">
        <v>712</v>
      </c>
      <c r="B278" s="3" t="s">
        <v>713</v>
      </c>
      <c r="C278" s="3" t="s">
        <v>720</v>
      </c>
      <c r="D278" s="3" t="s">
        <v>866</v>
      </c>
      <c r="E278" s="3" t="s">
        <v>715</v>
      </c>
      <c r="F278" s="3" t="s">
        <v>18</v>
      </c>
      <c r="G278" s="3" t="str">
        <f aca="false">IF(LEFT(D278,3)="09S",LEFT(D278,14),D278)</f>
        <v>09S29QBR811838</v>
      </c>
      <c r="H278" s="9" t="str">
        <f aca="false">IF(COUNTIF(Conferência!$A$4:$A$336,F278)=0,"",IF(COUNTIFS(Conferência!$A$4:$A$336,F278,Conferência!$D$4:$D$336,G278)&gt;0,"Confere","Falta no Word"))</f>
        <v>Confere</v>
      </c>
      <c r="I278" s="3"/>
    </row>
    <row r="279" customFormat="false" ht="15" hidden="false" customHeight="false" outlineLevel="0" collapsed="false">
      <c r="A279" s="3" t="s">
        <v>712</v>
      </c>
      <c r="B279" s="3" t="s">
        <v>713</v>
      </c>
      <c r="C279" s="3" t="s">
        <v>720</v>
      </c>
      <c r="D279" s="3" t="s">
        <v>867</v>
      </c>
      <c r="E279" s="3" t="s">
        <v>715</v>
      </c>
      <c r="F279" s="3" t="s">
        <v>18</v>
      </c>
      <c r="G279" s="3" t="str">
        <f aca="false">IF(LEFT(D279,3)="09S",LEFT(D279,14),D279)</f>
        <v>09S29QAR700143</v>
      </c>
      <c r="H279" s="9" t="str">
        <f aca="false">IF(COUNTIF(Conferência!$A$4:$A$336,F279)=0,"",IF(COUNTIFS(Conferência!$A$4:$A$336,F279,Conferência!$D$4:$D$336,G279)&gt;0,"Confere","Falta no Word"))</f>
        <v>Confere</v>
      </c>
      <c r="I279" s="3"/>
    </row>
    <row r="280" customFormat="false" ht="15" hidden="false" customHeight="false" outlineLevel="0" collapsed="false">
      <c r="A280" s="3" t="s">
        <v>712</v>
      </c>
      <c r="B280" s="3" t="s">
        <v>713</v>
      </c>
      <c r="C280" s="3" t="s">
        <v>720</v>
      </c>
      <c r="D280" s="3" t="s">
        <v>156</v>
      </c>
      <c r="E280" s="3" t="s">
        <v>715</v>
      </c>
      <c r="F280" s="3" t="s">
        <v>18</v>
      </c>
      <c r="G280" s="3" t="str">
        <f aca="false">IF(LEFT(D280,3)="09S",LEFT(D280,14),D280)</f>
        <v>09S29QBR812708</v>
      </c>
      <c r="H280" s="9" t="str">
        <f aca="false">IF(COUNTIF(Conferência!$A$4:$A$336,F280)=0,"",IF(COUNTIFS(Conferência!$A$4:$A$336,F280,Conferência!$D$4:$D$336,G280)&gt;0,"Confere","Falta no Word"))</f>
        <v>Falta no Word</v>
      </c>
      <c r="I280" s="3" t="s">
        <v>868</v>
      </c>
    </row>
    <row r="281" customFormat="false" ht="15" hidden="false" customHeight="false" outlineLevel="0" collapsed="false">
      <c r="A281" s="3" t="s">
        <v>712</v>
      </c>
      <c r="B281" s="3" t="s">
        <v>713</v>
      </c>
      <c r="C281" s="3" t="s">
        <v>720</v>
      </c>
      <c r="D281" s="3" t="s">
        <v>869</v>
      </c>
      <c r="E281" s="3" t="s">
        <v>715</v>
      </c>
      <c r="F281" s="3" t="s">
        <v>18</v>
      </c>
      <c r="G281" s="3" t="str">
        <f aca="false">IF(LEFT(D281,3)="09S",LEFT(D281,14),D281)</f>
        <v>09S29QBR706850</v>
      </c>
      <c r="H281" s="9" t="str">
        <f aca="false">IF(COUNTIF(Conferência!$A$4:$A$336,F281)=0,"",IF(COUNTIFS(Conferência!$A$4:$A$336,F281,Conferência!$D$4:$D$336,G281)&gt;0,"Confere","Falta no Word"))</f>
        <v>Confere</v>
      </c>
      <c r="I281" s="3"/>
    </row>
    <row r="282" customFormat="false" ht="15" hidden="false" customHeight="false" outlineLevel="0" collapsed="false">
      <c r="A282" s="3" t="s">
        <v>712</v>
      </c>
      <c r="B282" s="3" t="s">
        <v>713</v>
      </c>
      <c r="C282" s="3" t="s">
        <v>717</v>
      </c>
      <c r="D282" s="3" t="s">
        <v>465</v>
      </c>
      <c r="E282" s="3" t="s">
        <v>715</v>
      </c>
      <c r="F282" s="3" t="s">
        <v>13</v>
      </c>
      <c r="G282" s="3" t="str">
        <f aca="false">IF(LEFT(D282,3)="09S",LEFT(D282,14),D282)</f>
        <v>09S29QAR110814</v>
      </c>
      <c r="H282" s="9" t="str">
        <f aca="false">IF(COUNTIF(Conferência!$A$4:$A$336,F282)=0,"",IF(COUNTIFS(Conferência!$A$4:$A$336,F282,Conferência!$D$4:$D$336,G282)&gt;0,"Confere","Falta no Word"))</f>
        <v>Confere</v>
      </c>
      <c r="I282" s="3"/>
    </row>
    <row r="283" customFormat="false" ht="15" hidden="false" customHeight="false" outlineLevel="0" collapsed="false">
      <c r="A283" s="3" t="s">
        <v>712</v>
      </c>
      <c r="B283" s="3" t="s">
        <v>713</v>
      </c>
      <c r="C283" s="3" t="s">
        <v>717</v>
      </c>
      <c r="D283" s="3" t="s">
        <v>468</v>
      </c>
      <c r="E283" s="3" t="s">
        <v>715</v>
      </c>
      <c r="F283" s="3" t="s">
        <v>13</v>
      </c>
      <c r="G283" s="3" t="str">
        <f aca="false">IF(LEFT(D283,3)="09S",LEFT(D283,14),D283)</f>
        <v>09S29QAR111054</v>
      </c>
      <c r="H283" s="9" t="str">
        <f aca="false">IF(COUNTIF(Conferência!$A$4:$A$336,F283)=0,"",IF(COUNTIFS(Conferência!$A$4:$A$336,F283,Conferência!$D$4:$D$336,G283)&gt;0,"Confere","Falta no Word"))</f>
        <v>Confere</v>
      </c>
      <c r="I283" s="3"/>
    </row>
    <row r="284" customFormat="false" ht="15" hidden="false" customHeight="false" outlineLevel="0" collapsed="false">
      <c r="A284" s="3" t="s">
        <v>712</v>
      </c>
      <c r="B284" s="3" t="s">
        <v>713</v>
      </c>
      <c r="C284" s="3" t="s">
        <v>717</v>
      </c>
      <c r="D284" s="3" t="s">
        <v>445</v>
      </c>
      <c r="E284" s="3" t="s">
        <v>715</v>
      </c>
      <c r="F284" s="3" t="s">
        <v>13</v>
      </c>
      <c r="G284" s="3" t="str">
        <f aca="false">IF(LEFT(D284,3)="09S",LEFT(D284,14),D284)</f>
        <v>09S29QAR109567</v>
      </c>
      <c r="H284" s="9" t="str">
        <f aca="false">IF(COUNTIF(Conferência!$A$4:$A$336,F284)=0,"",IF(COUNTIFS(Conferência!$A$4:$A$336,F284,Conferência!$D$4:$D$336,G284)&gt;0,"Confere","Falta no Word"))</f>
        <v>Confere</v>
      </c>
      <c r="I284" s="3"/>
    </row>
    <row r="285" customFormat="false" ht="15" hidden="false" customHeight="false" outlineLevel="0" collapsed="false">
      <c r="A285" s="3" t="s">
        <v>712</v>
      </c>
      <c r="B285" s="3" t="s">
        <v>713</v>
      </c>
      <c r="C285" s="3" t="s">
        <v>717</v>
      </c>
      <c r="D285" s="3" t="s">
        <v>454</v>
      </c>
      <c r="E285" s="3" t="s">
        <v>715</v>
      </c>
      <c r="F285" s="3" t="s">
        <v>13</v>
      </c>
      <c r="G285" s="3" t="str">
        <f aca="false">IF(LEFT(D285,3)="09S",LEFT(D285,14),D285)</f>
        <v>09S29QAR109533</v>
      </c>
      <c r="H285" s="9" t="str">
        <f aca="false">IF(COUNTIF(Conferência!$A$4:$A$336,F285)=0,"",IF(COUNTIFS(Conferência!$A$4:$A$336,F285,Conferência!$D$4:$D$336,G285)&gt;0,"Confere","Falta no Word"))</f>
        <v>Confere</v>
      </c>
      <c r="I285" s="3"/>
    </row>
    <row r="286" customFormat="false" ht="15" hidden="false" customHeight="false" outlineLevel="0" collapsed="false">
      <c r="A286" s="3" t="s">
        <v>712</v>
      </c>
      <c r="B286" s="3" t="s">
        <v>713</v>
      </c>
      <c r="C286" s="3" t="s">
        <v>717</v>
      </c>
      <c r="D286" s="3" t="s">
        <v>450</v>
      </c>
      <c r="E286" s="3" t="s">
        <v>715</v>
      </c>
      <c r="F286" s="3" t="s">
        <v>13</v>
      </c>
      <c r="G286" s="3" t="str">
        <f aca="false">IF(LEFT(D286,3)="09S",LEFT(D286,14),D286)</f>
        <v>09S29QAR111065</v>
      </c>
      <c r="H286" s="9" t="str">
        <f aca="false">IF(COUNTIF(Conferência!$A$4:$A$336,F286)=0,"",IF(COUNTIFS(Conferência!$A$4:$A$336,F286,Conferência!$D$4:$D$336,G286)&gt;0,"Confere","Falta no Word"))</f>
        <v>Confere</v>
      </c>
      <c r="I286" s="3"/>
    </row>
    <row r="287" customFormat="false" ht="15" hidden="false" customHeight="false" outlineLevel="0" collapsed="false">
      <c r="A287" s="3" t="s">
        <v>712</v>
      </c>
      <c r="B287" s="3" t="s">
        <v>713</v>
      </c>
      <c r="C287" s="3" t="s">
        <v>717</v>
      </c>
      <c r="D287" s="3" t="s">
        <v>466</v>
      </c>
      <c r="E287" s="3" t="s">
        <v>715</v>
      </c>
      <c r="F287" s="3" t="s">
        <v>13</v>
      </c>
      <c r="G287" s="3" t="str">
        <f aca="false">IF(LEFT(D287,3)="09S",LEFT(D287,14),D287)</f>
        <v>09S29QAR111074</v>
      </c>
      <c r="H287" s="9" t="str">
        <f aca="false">IF(COUNTIF(Conferência!$A$4:$A$336,F287)=0,"",IF(COUNTIFS(Conferência!$A$4:$A$336,F287,Conferência!$D$4:$D$336,G287)&gt;0,"Confere","Falta no Word"))</f>
        <v>Confere</v>
      </c>
      <c r="I287" s="3"/>
    </row>
    <row r="288" customFormat="false" ht="15" hidden="false" customHeight="false" outlineLevel="0" collapsed="false">
      <c r="A288" s="3" t="s">
        <v>712</v>
      </c>
      <c r="B288" s="3" t="s">
        <v>713</v>
      </c>
      <c r="C288" s="3" t="s">
        <v>717</v>
      </c>
      <c r="D288" s="3" t="s">
        <v>456</v>
      </c>
      <c r="E288" s="3" t="s">
        <v>715</v>
      </c>
      <c r="F288" s="3" t="s">
        <v>13</v>
      </c>
      <c r="G288" s="3" t="str">
        <f aca="false">IF(LEFT(D288,3)="09S",LEFT(D288,14),D288)</f>
        <v>09S29QAR109581</v>
      </c>
      <c r="H288" s="9" t="str">
        <f aca="false">IF(COUNTIF(Conferência!$A$4:$A$336,F288)=0,"",IF(COUNTIFS(Conferência!$A$4:$A$336,F288,Conferência!$D$4:$D$336,G288)&gt;0,"Confere","Falta no Word"))</f>
        <v>Confere</v>
      </c>
      <c r="I288" s="3"/>
    </row>
    <row r="289" customFormat="false" ht="15" hidden="false" customHeight="false" outlineLevel="0" collapsed="false">
      <c r="A289" s="3" t="s">
        <v>712</v>
      </c>
      <c r="B289" s="3" t="s">
        <v>713</v>
      </c>
      <c r="C289" s="3" t="s">
        <v>717</v>
      </c>
      <c r="D289" s="3" t="s">
        <v>457</v>
      </c>
      <c r="E289" s="3" t="s">
        <v>715</v>
      </c>
      <c r="F289" s="3" t="s">
        <v>13</v>
      </c>
      <c r="G289" s="3" t="str">
        <f aca="false">IF(LEFT(D289,3)="09S",LEFT(D289,14),D289)</f>
        <v>09S29QAR110792</v>
      </c>
      <c r="H289" s="9" t="str">
        <f aca="false">IF(COUNTIF(Conferência!$A$4:$A$336,F289)=0,"",IF(COUNTIFS(Conferência!$A$4:$A$336,F289,Conferência!$D$4:$D$336,G289)&gt;0,"Confere","Falta no Word"))</f>
        <v>Confere</v>
      </c>
      <c r="I289" s="3"/>
    </row>
    <row r="290" customFormat="false" ht="15" hidden="false" customHeight="false" outlineLevel="0" collapsed="false">
      <c r="A290" s="3" t="s">
        <v>712</v>
      </c>
      <c r="B290" s="3" t="s">
        <v>713</v>
      </c>
      <c r="C290" s="3" t="s">
        <v>717</v>
      </c>
      <c r="D290" s="3" t="s">
        <v>464</v>
      </c>
      <c r="E290" s="3" t="s">
        <v>715</v>
      </c>
      <c r="F290" s="3" t="s">
        <v>13</v>
      </c>
      <c r="G290" s="3" t="str">
        <f aca="false">IF(LEFT(D290,3)="09S",LEFT(D290,14),D290)</f>
        <v>09S29QAR109695</v>
      </c>
      <c r="H290" s="9" t="str">
        <f aca="false">IF(COUNTIF(Conferência!$A$4:$A$336,F290)=0,"",IF(COUNTIFS(Conferência!$A$4:$A$336,F290,Conferência!$D$4:$D$336,G290)&gt;0,"Confere","Falta no Word"))</f>
        <v>Confere</v>
      </c>
      <c r="I290" s="3"/>
    </row>
    <row r="291" customFormat="false" ht="15" hidden="false" customHeight="false" outlineLevel="0" collapsed="false">
      <c r="A291" s="3" t="s">
        <v>712</v>
      </c>
      <c r="B291" s="3" t="s">
        <v>713</v>
      </c>
      <c r="C291" s="3" t="s">
        <v>717</v>
      </c>
      <c r="D291" s="3" t="s">
        <v>469</v>
      </c>
      <c r="E291" s="3" t="s">
        <v>715</v>
      </c>
      <c r="F291" s="3" t="s">
        <v>13</v>
      </c>
      <c r="G291" s="3" t="str">
        <f aca="false">IF(LEFT(D291,3)="09S",LEFT(D291,14),D291)</f>
        <v>09S29QAR109427</v>
      </c>
      <c r="H291" s="9" t="str">
        <f aca="false">IF(COUNTIF(Conferência!$A$4:$A$336,F291)=0,"",IF(COUNTIFS(Conferência!$A$4:$A$336,F291,Conferência!$D$4:$D$336,G291)&gt;0,"Confere","Falta no Word"))</f>
        <v>Confere</v>
      </c>
      <c r="I291" s="3"/>
    </row>
    <row r="292" customFormat="false" ht="15" hidden="false" customHeight="false" outlineLevel="0" collapsed="false">
      <c r="A292" s="3" t="s">
        <v>712</v>
      </c>
      <c r="B292" s="3" t="s">
        <v>713</v>
      </c>
      <c r="C292" s="3" t="s">
        <v>717</v>
      </c>
      <c r="D292" s="3" t="s">
        <v>117</v>
      </c>
      <c r="E292" s="3" t="s">
        <v>715</v>
      </c>
      <c r="F292" s="3" t="s">
        <v>13</v>
      </c>
      <c r="G292" s="3" t="str">
        <f aca="false">IF(LEFT(D292,3)="09S",LEFT(D292,14),D292)</f>
        <v>09S29QAR109513</v>
      </c>
      <c r="H292" s="9" t="str">
        <f aca="false">IF(COUNTIF(Conferência!$A$4:$A$336,F292)=0,"",IF(COUNTIFS(Conferência!$A$4:$A$336,F292,Conferência!$D$4:$D$336,G292)&gt;0,"Confere","Falta no Word"))</f>
        <v>Falta no Word</v>
      </c>
      <c r="I292" s="3" t="s">
        <v>870</v>
      </c>
    </row>
    <row r="293" customFormat="false" ht="15" hidden="false" customHeight="false" outlineLevel="0" collapsed="false">
      <c r="A293" s="3" t="s">
        <v>712</v>
      </c>
      <c r="B293" s="3" t="s">
        <v>713</v>
      </c>
      <c r="C293" s="3" t="s">
        <v>717</v>
      </c>
      <c r="D293" s="3" t="s">
        <v>448</v>
      </c>
      <c r="E293" s="3" t="s">
        <v>715</v>
      </c>
      <c r="F293" s="3" t="s">
        <v>13</v>
      </c>
      <c r="G293" s="3" t="str">
        <f aca="false">IF(LEFT(D293,3)="09S",LEFT(D293,14),D293)</f>
        <v>09S29QBNC00511</v>
      </c>
      <c r="H293" s="9" t="str">
        <f aca="false">IF(COUNTIF(Conferência!$A$4:$A$336,F293)=0,"",IF(COUNTIFS(Conferência!$A$4:$A$336,F293,Conferência!$D$4:$D$336,G293)&gt;0,"Confere","Falta no Word"))</f>
        <v>Confere</v>
      </c>
      <c r="I293" s="3"/>
    </row>
    <row r="294" customFormat="false" ht="15" hidden="false" customHeight="false" outlineLevel="0" collapsed="false">
      <c r="A294" s="3" t="s">
        <v>712</v>
      </c>
      <c r="B294" s="3" t="s">
        <v>713</v>
      </c>
      <c r="C294" s="3" t="s">
        <v>717</v>
      </c>
      <c r="D294" s="3" t="s">
        <v>461</v>
      </c>
      <c r="E294" s="3" t="s">
        <v>715</v>
      </c>
      <c r="F294" s="3" t="s">
        <v>13</v>
      </c>
      <c r="G294" s="3" t="str">
        <f aca="false">IF(LEFT(D294,3)="09S",LEFT(D294,14),D294)</f>
        <v>09S29QAR105567</v>
      </c>
      <c r="H294" s="9" t="str">
        <f aca="false">IF(COUNTIF(Conferência!$A$4:$A$336,F294)=0,"",IF(COUNTIFS(Conferência!$A$4:$A$336,F294,Conferência!$D$4:$D$336,G294)&gt;0,"Confere","Falta no Word"))</f>
        <v>Confere</v>
      </c>
      <c r="I294" s="3"/>
    </row>
    <row r="295" customFormat="false" ht="15" hidden="false" customHeight="false" outlineLevel="0" collapsed="false">
      <c r="A295" s="3" t="s">
        <v>712</v>
      </c>
      <c r="B295" s="3" t="s">
        <v>713</v>
      </c>
      <c r="C295" s="3" t="s">
        <v>717</v>
      </c>
      <c r="D295" s="3" t="s">
        <v>462</v>
      </c>
      <c r="E295" s="3" t="s">
        <v>715</v>
      </c>
      <c r="F295" s="3" t="s">
        <v>13</v>
      </c>
      <c r="G295" s="3" t="str">
        <f aca="false">IF(LEFT(D295,3)="09S",LEFT(D295,14),D295)</f>
        <v>09S29QAR110919</v>
      </c>
      <c r="H295" s="9" t="str">
        <f aca="false">IF(COUNTIF(Conferência!$A$4:$A$336,F295)=0,"",IF(COUNTIFS(Conferência!$A$4:$A$336,F295,Conferência!$D$4:$D$336,G295)&gt;0,"Confere","Falta no Word"))</f>
        <v>Confere</v>
      </c>
      <c r="I295" s="3"/>
    </row>
    <row r="296" customFormat="false" ht="15" hidden="false" customHeight="false" outlineLevel="0" collapsed="false">
      <c r="A296" s="3" t="s">
        <v>712</v>
      </c>
      <c r="B296" s="3" t="s">
        <v>713</v>
      </c>
      <c r="C296" s="3" t="s">
        <v>717</v>
      </c>
      <c r="D296" s="3" t="s">
        <v>460</v>
      </c>
      <c r="E296" s="3" t="s">
        <v>715</v>
      </c>
      <c r="F296" s="3" t="s">
        <v>13</v>
      </c>
      <c r="G296" s="3" t="str">
        <f aca="false">IF(LEFT(D296,3)="09S",LEFT(D296,14),D296)</f>
        <v>09S29QANC07293</v>
      </c>
      <c r="H296" s="9" t="str">
        <f aca="false">IF(COUNTIF(Conferência!$A$4:$A$336,F296)=0,"",IF(COUNTIFS(Conferência!$A$4:$A$336,F296,Conferência!$D$4:$D$336,G296)&gt;0,"Confere","Falta no Word"))</f>
        <v>Confere</v>
      </c>
      <c r="I296" s="3"/>
    </row>
    <row r="297" customFormat="false" ht="15" hidden="false" customHeight="false" outlineLevel="0" collapsed="false">
      <c r="A297" s="3" t="s">
        <v>712</v>
      </c>
      <c r="B297" s="3" t="s">
        <v>713</v>
      </c>
      <c r="C297" s="3" t="s">
        <v>717</v>
      </c>
      <c r="D297" s="3" t="s">
        <v>449</v>
      </c>
      <c r="E297" s="3" t="s">
        <v>715</v>
      </c>
      <c r="F297" s="3" t="s">
        <v>13</v>
      </c>
      <c r="G297" s="3" t="str">
        <f aca="false">IF(LEFT(D297,3)="09S",LEFT(D297,14),D297)</f>
        <v>09S29QBNC00050</v>
      </c>
      <c r="H297" s="9" t="str">
        <f aca="false">IF(COUNTIF(Conferência!$A$4:$A$336,F297)=0,"",IF(COUNTIFS(Conferência!$A$4:$A$336,F297,Conferência!$D$4:$D$336,G297)&gt;0,"Confere","Falta no Word"))</f>
        <v>Confere</v>
      </c>
      <c r="I297" s="3"/>
    </row>
    <row r="298" customFormat="false" ht="15" hidden="false" customHeight="false" outlineLevel="0" collapsed="false">
      <c r="A298" s="3" t="s">
        <v>712</v>
      </c>
      <c r="B298" s="3" t="s">
        <v>713</v>
      </c>
      <c r="C298" s="3" t="s">
        <v>717</v>
      </c>
      <c r="D298" s="3" t="s">
        <v>453</v>
      </c>
      <c r="E298" s="3" t="s">
        <v>715</v>
      </c>
      <c r="F298" s="3" t="s">
        <v>13</v>
      </c>
      <c r="G298" s="3" t="str">
        <f aca="false">IF(LEFT(D298,3)="09S",LEFT(D298,14),D298)</f>
        <v>09S29QANC07268</v>
      </c>
      <c r="H298" s="9" t="str">
        <f aca="false">IF(COUNTIF(Conferência!$A$4:$A$336,F298)=0,"",IF(COUNTIFS(Conferência!$A$4:$A$336,F298,Conferência!$D$4:$D$336,G298)&gt;0,"Confere","Falta no Word"))</f>
        <v>Confere</v>
      </c>
      <c r="I298" s="3"/>
    </row>
    <row r="299" customFormat="false" ht="15" hidden="false" customHeight="false" outlineLevel="0" collapsed="false">
      <c r="A299" s="3" t="s">
        <v>712</v>
      </c>
      <c r="B299" s="3" t="s">
        <v>713</v>
      </c>
      <c r="C299" s="3" t="s">
        <v>717</v>
      </c>
      <c r="D299" s="3" t="s">
        <v>463</v>
      </c>
      <c r="E299" s="3" t="s">
        <v>715</v>
      </c>
      <c r="F299" s="3" t="s">
        <v>13</v>
      </c>
      <c r="G299" s="3" t="str">
        <f aca="false">IF(LEFT(D299,3)="09S",LEFT(D299,14),D299)</f>
        <v>09S29QAR110841</v>
      </c>
      <c r="H299" s="9" t="str">
        <f aca="false">IF(COUNTIF(Conferência!$A$4:$A$336,F299)=0,"",IF(COUNTIFS(Conferência!$A$4:$A$336,F299,Conferência!$D$4:$D$336,G299)&gt;0,"Confere","Falta no Word"))</f>
        <v>Confere</v>
      </c>
      <c r="I299" s="3"/>
    </row>
    <row r="300" customFormat="false" ht="15" hidden="false" customHeight="false" outlineLevel="0" collapsed="false">
      <c r="A300" s="3" t="s">
        <v>712</v>
      </c>
      <c r="B300" s="3" t="s">
        <v>713</v>
      </c>
      <c r="C300" s="3" t="s">
        <v>717</v>
      </c>
      <c r="D300" s="3" t="s">
        <v>451</v>
      </c>
      <c r="E300" s="3" t="s">
        <v>715</v>
      </c>
      <c r="F300" s="3" t="s">
        <v>13</v>
      </c>
      <c r="G300" s="3" t="str">
        <f aca="false">IF(LEFT(D300,3)="09S",LEFT(D300,14),D300)</f>
        <v>09S29QAR110835</v>
      </c>
      <c r="H300" s="9" t="str">
        <f aca="false">IF(COUNTIF(Conferência!$A$4:$A$336,F300)=0,"",IF(COUNTIFS(Conferência!$A$4:$A$336,F300,Conferência!$D$4:$D$336,G300)&gt;0,"Confere","Falta no Word"))</f>
        <v>Confere</v>
      </c>
      <c r="I300" s="3"/>
    </row>
    <row r="301" customFormat="false" ht="15" hidden="false" customHeight="false" outlineLevel="0" collapsed="false">
      <c r="A301" s="3" t="s">
        <v>712</v>
      </c>
      <c r="B301" s="3" t="s">
        <v>713</v>
      </c>
      <c r="C301" s="3" t="s">
        <v>717</v>
      </c>
      <c r="D301" s="3" t="s">
        <v>467</v>
      </c>
      <c r="E301" s="3" t="s">
        <v>715</v>
      </c>
      <c r="F301" s="3" t="s">
        <v>13</v>
      </c>
      <c r="G301" s="3" t="str">
        <f aca="false">IF(LEFT(D301,3)="09S",LEFT(D301,14),D301)</f>
        <v>09S29QAR110809</v>
      </c>
      <c r="H301" s="9" t="str">
        <f aca="false">IF(COUNTIF(Conferência!$A$4:$A$336,F301)=0,"",IF(COUNTIFS(Conferência!$A$4:$A$336,F301,Conferência!$D$4:$D$336,G301)&gt;0,"Confere","Falta no Word"))</f>
        <v>Confere</v>
      </c>
      <c r="I301" s="3"/>
    </row>
    <row r="302" customFormat="false" ht="15" hidden="false" customHeight="false" outlineLevel="0" collapsed="false">
      <c r="A302" s="3" t="s">
        <v>712</v>
      </c>
      <c r="B302" s="3" t="s">
        <v>713</v>
      </c>
      <c r="C302" s="3" t="s">
        <v>720</v>
      </c>
      <c r="D302" s="3" t="s">
        <v>871</v>
      </c>
      <c r="E302" s="3" t="s">
        <v>715</v>
      </c>
      <c r="F302" s="3" t="s">
        <v>13</v>
      </c>
      <c r="G302" s="3" t="str">
        <f aca="false">IF(LEFT(D302,3)="09S",LEFT(D302,14),D302)</f>
        <v>09S29QBR702359</v>
      </c>
      <c r="H302" s="9" t="str">
        <f aca="false">IF(COUNTIF(Conferência!$A$4:$A$336,F302)=0,"",IF(COUNTIFS(Conferência!$A$4:$A$336,F302,Conferência!$D$4:$D$336,G302)&gt;0,"Confere","Falta no Word"))</f>
        <v>Confere</v>
      </c>
      <c r="I302" s="3"/>
    </row>
    <row r="303" customFormat="false" ht="15" hidden="false" customHeight="false" outlineLevel="0" collapsed="false">
      <c r="A303" s="3" t="s">
        <v>712</v>
      </c>
      <c r="B303" s="3" t="s">
        <v>713</v>
      </c>
      <c r="C303" s="3" t="s">
        <v>720</v>
      </c>
      <c r="D303" s="3" t="s">
        <v>872</v>
      </c>
      <c r="E303" s="3" t="s">
        <v>715</v>
      </c>
      <c r="F303" s="3" t="s">
        <v>13</v>
      </c>
      <c r="G303" s="3" t="str">
        <f aca="false">IF(LEFT(D303,3)="09S",LEFT(D303,14),D303)</f>
        <v>09S29QBR704308</v>
      </c>
      <c r="H303" s="9" t="str">
        <f aca="false">IF(COUNTIF(Conferência!$A$4:$A$336,F303)=0,"",IF(COUNTIFS(Conferência!$A$4:$A$336,F303,Conferência!$D$4:$D$336,G303)&gt;0,"Confere","Falta no Word"))</f>
        <v>Confere</v>
      </c>
      <c r="I303" s="3"/>
    </row>
    <row r="304" customFormat="false" ht="15" hidden="false" customHeight="false" outlineLevel="0" collapsed="false">
      <c r="A304" s="3" t="s">
        <v>712</v>
      </c>
      <c r="B304" s="3" t="s">
        <v>713</v>
      </c>
      <c r="C304" s="3" t="s">
        <v>720</v>
      </c>
      <c r="D304" s="3" t="s">
        <v>873</v>
      </c>
      <c r="E304" s="3" t="s">
        <v>715</v>
      </c>
      <c r="F304" s="3" t="s">
        <v>13</v>
      </c>
      <c r="G304" s="3" t="str">
        <f aca="false">IF(LEFT(D304,3)="09S",LEFT(D304,14),D304)</f>
        <v>09S29QAR700170</v>
      </c>
      <c r="H304" s="9" t="str">
        <f aca="false">IF(COUNTIF(Conferência!$A$4:$A$336,F304)=0,"",IF(COUNTIFS(Conferência!$A$4:$A$336,F304,Conferência!$D$4:$D$336,G304)&gt;0,"Confere","Falta no Word"))</f>
        <v>Confere</v>
      </c>
      <c r="I304" s="3"/>
    </row>
    <row r="305" customFormat="false" ht="15" hidden="false" customHeight="false" outlineLevel="0" collapsed="false">
      <c r="A305" s="3" t="s">
        <v>712</v>
      </c>
      <c r="B305" s="3" t="s">
        <v>713</v>
      </c>
      <c r="C305" s="3" t="s">
        <v>720</v>
      </c>
      <c r="D305" s="3" t="s">
        <v>874</v>
      </c>
      <c r="E305" s="3" t="s">
        <v>715</v>
      </c>
      <c r="F305" s="3" t="s">
        <v>13</v>
      </c>
      <c r="G305" s="3" t="str">
        <f aca="false">IF(LEFT(D305,3)="09S",LEFT(D305,14),D305)</f>
        <v>09S29QBR702231</v>
      </c>
      <c r="H305" s="9" t="str">
        <f aca="false">IF(COUNTIF(Conferência!$A$4:$A$336,F305)=0,"",IF(COUNTIFS(Conferência!$A$4:$A$336,F305,Conferência!$D$4:$D$336,G305)&gt;0,"Confere","Falta no Word"))</f>
        <v>Confere</v>
      </c>
      <c r="I305" s="3"/>
    </row>
    <row r="306" customFormat="false" ht="15" hidden="false" customHeight="false" outlineLevel="0" collapsed="false">
      <c r="A306" s="3" t="s">
        <v>712</v>
      </c>
      <c r="B306" s="3" t="s">
        <v>713</v>
      </c>
      <c r="C306" s="3" t="s">
        <v>720</v>
      </c>
      <c r="D306" s="3" t="s">
        <v>875</v>
      </c>
      <c r="E306" s="3" t="s">
        <v>715</v>
      </c>
      <c r="F306" s="3" t="s">
        <v>13</v>
      </c>
      <c r="G306" s="3" t="str">
        <f aca="false">IF(LEFT(D306,3)="09S",LEFT(D306,14),D306)</f>
        <v>09S29QBR722684</v>
      </c>
      <c r="H306" s="9" t="str">
        <f aca="false">IF(COUNTIF(Conferência!$A$4:$A$336,F306)=0,"",IF(COUNTIFS(Conferência!$A$4:$A$336,F306,Conferência!$D$4:$D$336,G306)&gt;0,"Confere","Falta no Word"))</f>
        <v>Confere</v>
      </c>
      <c r="I306" s="3"/>
    </row>
    <row r="307" customFormat="false" ht="15" hidden="false" customHeight="false" outlineLevel="0" collapsed="false">
      <c r="A307" s="3" t="s">
        <v>712</v>
      </c>
      <c r="B307" s="3" t="s">
        <v>713</v>
      </c>
      <c r="C307" s="3" t="s">
        <v>717</v>
      </c>
      <c r="D307" s="3" t="s">
        <v>479</v>
      </c>
      <c r="E307" s="3" t="s">
        <v>715</v>
      </c>
      <c r="F307" s="3" t="s">
        <v>14</v>
      </c>
      <c r="G307" s="3" t="str">
        <f aca="false">IF(LEFT(D307,3)="09S",LEFT(D307,14),D307)</f>
        <v>09S29QAR109527</v>
      </c>
      <c r="H307" s="9" t="str">
        <f aca="false">IF(COUNTIF(Conferência!$A$4:$A$336,F307)=0,"",IF(COUNTIFS(Conferência!$A$4:$A$336,F307,Conferência!$D$4:$D$336,G307)&gt;0,"Confere","Falta no Word"))</f>
        <v>Confere</v>
      </c>
      <c r="I307" s="3"/>
    </row>
    <row r="308" customFormat="false" ht="15" hidden="false" customHeight="false" outlineLevel="0" collapsed="false">
      <c r="A308" s="3" t="s">
        <v>712</v>
      </c>
      <c r="B308" s="3" t="s">
        <v>713</v>
      </c>
      <c r="C308" s="3" t="s">
        <v>717</v>
      </c>
      <c r="D308" s="3" t="s">
        <v>480</v>
      </c>
      <c r="E308" s="3" t="s">
        <v>715</v>
      </c>
      <c r="F308" s="3" t="s">
        <v>14</v>
      </c>
      <c r="G308" s="3" t="str">
        <f aca="false">IF(LEFT(D308,3)="09S",LEFT(D308,14),D308)</f>
        <v>09S29QAR110978</v>
      </c>
      <c r="H308" s="9" t="str">
        <f aca="false">IF(COUNTIF(Conferência!$A$4:$A$336,F308)=0,"",IF(COUNTIFS(Conferência!$A$4:$A$336,F308,Conferência!$D$4:$D$336,G308)&gt;0,"Confere","Falta no Word"))</f>
        <v>Confere</v>
      </c>
      <c r="I308" s="3"/>
    </row>
    <row r="309" customFormat="false" ht="15" hidden="false" customHeight="false" outlineLevel="0" collapsed="false">
      <c r="A309" s="3" t="s">
        <v>712</v>
      </c>
      <c r="B309" s="3" t="s">
        <v>713</v>
      </c>
      <c r="C309" s="3" t="s">
        <v>717</v>
      </c>
      <c r="D309" s="3" t="s">
        <v>475</v>
      </c>
      <c r="E309" s="3" t="s">
        <v>715</v>
      </c>
      <c r="F309" s="3" t="s">
        <v>14</v>
      </c>
      <c r="G309" s="3" t="str">
        <f aca="false">IF(LEFT(D309,3)="09S",LEFT(D309,14),D309)</f>
        <v>09S29QANC07312</v>
      </c>
      <c r="H309" s="9" t="str">
        <f aca="false">IF(COUNTIF(Conferência!$A$4:$A$336,F309)=0,"",IF(COUNTIFS(Conferência!$A$4:$A$336,F309,Conferência!$D$4:$D$336,G309)&gt;0,"Confere","Falta no Word"))</f>
        <v>Confere</v>
      </c>
      <c r="I309" s="3"/>
    </row>
    <row r="310" customFormat="false" ht="15" hidden="false" customHeight="false" outlineLevel="0" collapsed="false">
      <c r="A310" s="3" t="s">
        <v>712</v>
      </c>
      <c r="B310" s="3" t="s">
        <v>713</v>
      </c>
      <c r="C310" s="3" t="s">
        <v>717</v>
      </c>
      <c r="D310" s="3" t="s">
        <v>485</v>
      </c>
      <c r="E310" s="3" t="s">
        <v>715</v>
      </c>
      <c r="F310" s="3" t="s">
        <v>14</v>
      </c>
      <c r="G310" s="3" t="str">
        <f aca="false">IF(LEFT(D310,3)="09S",LEFT(D310,14),D310)</f>
        <v>09S29QANC07400</v>
      </c>
      <c r="H310" s="9" t="str">
        <f aca="false">IF(COUNTIF(Conferência!$A$4:$A$336,F310)=0,"",IF(COUNTIFS(Conferência!$A$4:$A$336,F310,Conferência!$D$4:$D$336,G310)&gt;0,"Confere","Falta no Word"))</f>
        <v>Confere</v>
      </c>
      <c r="I310" s="3"/>
    </row>
    <row r="311" customFormat="false" ht="15" hidden="false" customHeight="false" outlineLevel="0" collapsed="false">
      <c r="A311" s="3" t="s">
        <v>712</v>
      </c>
      <c r="B311" s="3" t="s">
        <v>713</v>
      </c>
      <c r="C311" s="3" t="s">
        <v>717</v>
      </c>
      <c r="D311" s="3" t="s">
        <v>496</v>
      </c>
      <c r="E311" s="3" t="s">
        <v>715</v>
      </c>
      <c r="F311" s="3" t="s">
        <v>14</v>
      </c>
      <c r="G311" s="3" t="str">
        <f aca="false">IF(LEFT(D311,3)="09S",LEFT(D311,14),D311)</f>
        <v>09S29QAR110781</v>
      </c>
      <c r="H311" s="9" t="str">
        <f aca="false">IF(COUNTIF(Conferência!$A$4:$A$336,F311)=0,"",IF(COUNTIFS(Conferência!$A$4:$A$336,F311,Conferência!$D$4:$D$336,G311)&gt;0,"Confere","Falta no Word"))</f>
        <v>Confere</v>
      </c>
      <c r="I311" s="3"/>
    </row>
    <row r="312" customFormat="false" ht="15" hidden="false" customHeight="false" outlineLevel="0" collapsed="false">
      <c r="A312" s="3" t="s">
        <v>712</v>
      </c>
      <c r="B312" s="3" t="s">
        <v>713</v>
      </c>
      <c r="C312" s="3" t="s">
        <v>717</v>
      </c>
      <c r="D312" s="3" t="s">
        <v>487</v>
      </c>
      <c r="E312" s="3" t="s">
        <v>715</v>
      </c>
      <c r="F312" s="3" t="s">
        <v>14</v>
      </c>
      <c r="G312" s="3" t="str">
        <f aca="false">IF(LEFT(D312,3)="09S",LEFT(D312,14),D312)</f>
        <v>09S29QANC07284</v>
      </c>
      <c r="H312" s="9" t="str">
        <f aca="false">IF(COUNTIF(Conferência!$A$4:$A$336,F312)=0,"",IF(COUNTIFS(Conferência!$A$4:$A$336,F312,Conferência!$D$4:$D$336,G312)&gt;0,"Confere","Falta no Word"))</f>
        <v>Confere</v>
      </c>
      <c r="I312" s="3"/>
    </row>
    <row r="313" customFormat="false" ht="15" hidden="false" customHeight="false" outlineLevel="0" collapsed="false">
      <c r="A313" s="3" t="s">
        <v>712</v>
      </c>
      <c r="B313" s="3" t="s">
        <v>713</v>
      </c>
      <c r="C313" s="3" t="s">
        <v>717</v>
      </c>
      <c r="D313" s="3" t="s">
        <v>481</v>
      </c>
      <c r="E313" s="3" t="s">
        <v>715</v>
      </c>
      <c r="F313" s="3" t="s">
        <v>14</v>
      </c>
      <c r="G313" s="3" t="str">
        <f aca="false">IF(LEFT(D313,3)="09S",LEFT(D313,14),D313)</f>
        <v>09S29QAR109411</v>
      </c>
      <c r="H313" s="9" t="str">
        <f aca="false">IF(COUNTIF(Conferência!$A$4:$A$336,F313)=0,"",IF(COUNTIFS(Conferência!$A$4:$A$336,F313,Conferência!$D$4:$D$336,G313)&gt;0,"Confere","Falta no Word"))</f>
        <v>Confere</v>
      </c>
      <c r="I313" s="3"/>
    </row>
    <row r="314" customFormat="false" ht="15" hidden="false" customHeight="false" outlineLevel="0" collapsed="false">
      <c r="A314" s="3" t="s">
        <v>712</v>
      </c>
      <c r="B314" s="3" t="s">
        <v>713</v>
      </c>
      <c r="C314" s="3" t="s">
        <v>717</v>
      </c>
      <c r="D314" s="3" t="s">
        <v>488</v>
      </c>
      <c r="E314" s="3" t="s">
        <v>715</v>
      </c>
      <c r="F314" s="3" t="s">
        <v>14</v>
      </c>
      <c r="G314" s="3" t="str">
        <f aca="false">IF(LEFT(D314,3)="09S",LEFT(D314,14),D314)</f>
        <v>09S29QAR109505</v>
      </c>
      <c r="H314" s="9" t="str">
        <f aca="false">IF(COUNTIF(Conferência!$A$4:$A$336,F314)=0,"",IF(COUNTIFS(Conferência!$A$4:$A$336,F314,Conferência!$D$4:$D$336,G314)&gt;0,"Confere","Falta no Word"))</f>
        <v>Confere</v>
      </c>
      <c r="I314" s="3"/>
    </row>
    <row r="315" customFormat="false" ht="15" hidden="false" customHeight="false" outlineLevel="0" collapsed="false">
      <c r="A315" s="3" t="s">
        <v>712</v>
      </c>
      <c r="B315" s="3" t="s">
        <v>713</v>
      </c>
      <c r="C315" s="3" t="s">
        <v>717</v>
      </c>
      <c r="D315" s="3" t="s">
        <v>490</v>
      </c>
      <c r="E315" s="3" t="s">
        <v>715</v>
      </c>
      <c r="F315" s="3" t="s">
        <v>14</v>
      </c>
      <c r="G315" s="3" t="str">
        <f aca="false">IF(LEFT(D315,3)="09S",LEFT(D315,14),D315)</f>
        <v>09S29QAR110618</v>
      </c>
      <c r="H315" s="9" t="str">
        <f aca="false">IF(COUNTIF(Conferência!$A$4:$A$336,F315)=0,"",IF(COUNTIFS(Conferência!$A$4:$A$336,F315,Conferência!$D$4:$D$336,G315)&gt;0,"Confere","Falta no Word"))</f>
        <v>Confere</v>
      </c>
      <c r="I315" s="3"/>
    </row>
    <row r="316" customFormat="false" ht="15" hidden="false" customHeight="false" outlineLevel="0" collapsed="false">
      <c r="A316" s="3" t="s">
        <v>712</v>
      </c>
      <c r="B316" s="3" t="s">
        <v>713</v>
      </c>
      <c r="C316" s="3" t="s">
        <v>717</v>
      </c>
      <c r="D316" s="3" t="s">
        <v>483</v>
      </c>
      <c r="E316" s="3" t="s">
        <v>715</v>
      </c>
      <c r="F316" s="3" t="s">
        <v>14</v>
      </c>
      <c r="G316" s="3" t="str">
        <f aca="false">IF(LEFT(D316,3)="09S",LEFT(D316,14),D316)</f>
        <v>09S29QAR110839</v>
      </c>
      <c r="H316" s="9" t="str">
        <f aca="false">IF(COUNTIF(Conferência!$A$4:$A$336,F316)=0,"",IF(COUNTIFS(Conferência!$A$4:$A$336,F316,Conferência!$D$4:$D$336,G316)&gt;0,"Confere","Falta no Word"))</f>
        <v>Confere</v>
      </c>
      <c r="I316" s="3"/>
    </row>
    <row r="317" customFormat="false" ht="15" hidden="false" customHeight="false" outlineLevel="0" collapsed="false">
      <c r="A317" s="3" t="s">
        <v>712</v>
      </c>
      <c r="B317" s="3" t="s">
        <v>713</v>
      </c>
      <c r="C317" s="3" t="s">
        <v>717</v>
      </c>
      <c r="D317" s="3" t="s">
        <v>489</v>
      </c>
      <c r="E317" s="3" t="s">
        <v>715</v>
      </c>
      <c r="F317" s="3" t="s">
        <v>14</v>
      </c>
      <c r="G317" s="3" t="str">
        <f aca="false">IF(LEFT(D317,3)="09S",LEFT(D317,14),D317)</f>
        <v>09S29QAR109608</v>
      </c>
      <c r="H317" s="9" t="str">
        <f aca="false">IF(COUNTIF(Conferência!$A$4:$A$336,F317)=0,"",IF(COUNTIFS(Conferência!$A$4:$A$336,F317,Conferência!$D$4:$D$336,G317)&gt;0,"Confere","Falta no Word"))</f>
        <v>Confere</v>
      </c>
      <c r="I317" s="3"/>
    </row>
    <row r="318" customFormat="false" ht="15" hidden="false" customHeight="false" outlineLevel="0" collapsed="false">
      <c r="A318" s="3" t="s">
        <v>712</v>
      </c>
      <c r="B318" s="3" t="s">
        <v>713</v>
      </c>
      <c r="C318" s="3" t="s">
        <v>717</v>
      </c>
      <c r="D318" s="3" t="s">
        <v>482</v>
      </c>
      <c r="E318" s="3" t="s">
        <v>715</v>
      </c>
      <c r="F318" s="3" t="s">
        <v>14</v>
      </c>
      <c r="G318" s="3" t="str">
        <f aca="false">IF(LEFT(D318,3)="09S",LEFT(D318,14),D318)</f>
        <v>09S29QAR109612</v>
      </c>
      <c r="H318" s="9" t="str">
        <f aca="false">IF(COUNTIF(Conferência!$A$4:$A$336,F318)=0,"",IF(COUNTIFS(Conferência!$A$4:$A$336,F318,Conferência!$D$4:$D$336,G318)&gt;0,"Confere","Falta no Word"))</f>
        <v>Confere</v>
      </c>
      <c r="I318" s="3"/>
    </row>
    <row r="319" customFormat="false" ht="15" hidden="false" customHeight="false" outlineLevel="0" collapsed="false">
      <c r="A319" s="3" t="s">
        <v>712</v>
      </c>
      <c r="B319" s="3" t="s">
        <v>713</v>
      </c>
      <c r="C319" s="3" t="s">
        <v>717</v>
      </c>
      <c r="D319" s="3" t="s">
        <v>493</v>
      </c>
      <c r="E319" s="3" t="s">
        <v>715</v>
      </c>
      <c r="F319" s="3" t="s">
        <v>14</v>
      </c>
      <c r="G319" s="3" t="str">
        <f aca="false">IF(LEFT(D319,3)="09S",LEFT(D319,14),D319)</f>
        <v>09S29QAR110876</v>
      </c>
      <c r="H319" s="9" t="str">
        <f aca="false">IF(COUNTIF(Conferência!$A$4:$A$336,F319)=0,"",IF(COUNTIFS(Conferência!$A$4:$A$336,F319,Conferência!$D$4:$D$336,G319)&gt;0,"Confere","Falta no Word"))</f>
        <v>Confere</v>
      </c>
      <c r="I319" s="3"/>
    </row>
    <row r="320" customFormat="false" ht="15" hidden="false" customHeight="false" outlineLevel="0" collapsed="false">
      <c r="A320" s="3" t="s">
        <v>712</v>
      </c>
      <c r="B320" s="3" t="s">
        <v>713</v>
      </c>
      <c r="C320" s="3" t="s">
        <v>717</v>
      </c>
      <c r="D320" s="3" t="s">
        <v>476</v>
      </c>
      <c r="E320" s="3" t="s">
        <v>715</v>
      </c>
      <c r="F320" s="3" t="s">
        <v>14</v>
      </c>
      <c r="G320" s="3" t="str">
        <f aca="false">IF(LEFT(D320,3)="09S",LEFT(D320,14),D320)</f>
        <v>09S29QAR110777</v>
      </c>
      <c r="H320" s="9" t="str">
        <f aca="false">IF(COUNTIF(Conferência!$A$4:$A$336,F320)=0,"",IF(COUNTIFS(Conferência!$A$4:$A$336,F320,Conferência!$D$4:$D$336,G320)&gt;0,"Confere","Falta no Word"))</f>
        <v>Confere</v>
      </c>
      <c r="I320" s="3"/>
    </row>
    <row r="321" customFormat="false" ht="15" hidden="false" customHeight="false" outlineLevel="0" collapsed="false">
      <c r="A321" s="3" t="s">
        <v>712</v>
      </c>
      <c r="B321" s="3" t="s">
        <v>713</v>
      </c>
      <c r="C321" s="3" t="s">
        <v>717</v>
      </c>
      <c r="D321" s="3" t="s">
        <v>477</v>
      </c>
      <c r="E321" s="3" t="s">
        <v>715</v>
      </c>
      <c r="F321" s="3" t="s">
        <v>14</v>
      </c>
      <c r="G321" s="3" t="str">
        <f aca="false">IF(LEFT(D321,3)="09S",LEFT(D321,14),D321)</f>
        <v>09S29QAR110764</v>
      </c>
      <c r="H321" s="9" t="str">
        <f aca="false">IF(COUNTIF(Conferência!$A$4:$A$336,F321)=0,"",IF(COUNTIFS(Conferência!$A$4:$A$336,F321,Conferência!$D$4:$D$336,G321)&gt;0,"Confere","Falta no Word"))</f>
        <v>Confere</v>
      </c>
      <c r="I321" s="3"/>
    </row>
    <row r="322" customFormat="false" ht="15" hidden="false" customHeight="false" outlineLevel="0" collapsed="false">
      <c r="A322" s="3" t="s">
        <v>712</v>
      </c>
      <c r="B322" s="3" t="s">
        <v>713</v>
      </c>
      <c r="C322" s="3" t="s">
        <v>717</v>
      </c>
      <c r="D322" s="3" t="s">
        <v>486</v>
      </c>
      <c r="E322" s="3" t="s">
        <v>715</v>
      </c>
      <c r="F322" s="3" t="s">
        <v>14</v>
      </c>
      <c r="G322" s="3" t="str">
        <f aca="false">IF(LEFT(D322,3)="09S",LEFT(D322,14),D322)</f>
        <v>09S29QAR110984</v>
      </c>
      <c r="H322" s="9" t="str">
        <f aca="false">IF(COUNTIF(Conferência!$A$4:$A$336,F322)=0,"",IF(COUNTIFS(Conferência!$A$4:$A$336,F322,Conferência!$D$4:$D$336,G322)&gt;0,"Confere","Falta no Word"))</f>
        <v>Confere</v>
      </c>
      <c r="I322" s="3"/>
    </row>
    <row r="323" customFormat="false" ht="15" hidden="false" customHeight="false" outlineLevel="0" collapsed="false">
      <c r="A323" s="3" t="s">
        <v>712</v>
      </c>
      <c r="B323" s="3" t="s">
        <v>713</v>
      </c>
      <c r="C323" s="3" t="s">
        <v>717</v>
      </c>
      <c r="D323" s="3" t="s">
        <v>474</v>
      </c>
      <c r="E323" s="3" t="s">
        <v>715</v>
      </c>
      <c r="F323" s="3" t="s">
        <v>14</v>
      </c>
      <c r="G323" s="3" t="str">
        <f aca="false">IF(LEFT(D323,3)="09S",LEFT(D323,14),D323)</f>
        <v>09S29QAR110788</v>
      </c>
      <c r="H323" s="9" t="str">
        <f aca="false">IF(COUNTIF(Conferência!$A$4:$A$336,F323)=0,"",IF(COUNTIFS(Conferência!$A$4:$A$336,F323,Conferência!$D$4:$D$336,G323)&gt;0,"Confere","Falta no Word"))</f>
        <v>Confere</v>
      </c>
      <c r="I323" s="3"/>
    </row>
    <row r="324" customFormat="false" ht="15" hidden="false" customHeight="false" outlineLevel="0" collapsed="false">
      <c r="A324" s="3" t="s">
        <v>712</v>
      </c>
      <c r="B324" s="3" t="s">
        <v>713</v>
      </c>
      <c r="C324" s="3" t="s">
        <v>717</v>
      </c>
      <c r="D324" s="3" t="s">
        <v>478</v>
      </c>
      <c r="E324" s="3" t="s">
        <v>715</v>
      </c>
      <c r="F324" s="3" t="s">
        <v>14</v>
      </c>
      <c r="G324" s="3" t="str">
        <f aca="false">IF(LEFT(D324,3)="09S",LEFT(D324,14),D324)</f>
        <v>09S29QAR110847</v>
      </c>
      <c r="H324" s="9" t="str">
        <f aca="false">IF(COUNTIF(Conferência!$A$4:$A$336,F324)=0,"",IF(COUNTIFS(Conferência!$A$4:$A$336,F324,Conferência!$D$4:$D$336,G324)&gt;0,"Confere","Falta no Word"))</f>
        <v>Confere</v>
      </c>
      <c r="I324" s="3"/>
    </row>
    <row r="325" customFormat="false" ht="15" hidden="false" customHeight="false" outlineLevel="0" collapsed="false">
      <c r="A325" s="3" t="s">
        <v>712</v>
      </c>
      <c r="B325" s="3" t="s">
        <v>713</v>
      </c>
      <c r="C325" s="3" t="s">
        <v>717</v>
      </c>
      <c r="D325" s="3" t="s">
        <v>491</v>
      </c>
      <c r="E325" s="3" t="s">
        <v>715</v>
      </c>
      <c r="F325" s="3" t="s">
        <v>14</v>
      </c>
      <c r="G325" s="3" t="str">
        <f aca="false">IF(LEFT(D325,3)="09S",LEFT(D325,14),D325)</f>
        <v>09S29QAR110825</v>
      </c>
      <c r="H325" s="9" t="str">
        <f aca="false">IF(COUNTIF(Conferência!$A$4:$A$336,F325)=0,"",IF(COUNTIFS(Conferência!$A$4:$A$336,F325,Conferência!$D$4:$D$336,G325)&gt;0,"Confere","Falta no Word"))</f>
        <v>Confere</v>
      </c>
      <c r="I325" s="3"/>
    </row>
    <row r="326" customFormat="false" ht="15" hidden="false" customHeight="false" outlineLevel="0" collapsed="false">
      <c r="A326" s="3" t="s">
        <v>712</v>
      </c>
      <c r="B326" s="3" t="s">
        <v>713</v>
      </c>
      <c r="C326" s="3" t="s">
        <v>717</v>
      </c>
      <c r="D326" s="3" t="s">
        <v>472</v>
      </c>
      <c r="E326" s="3" t="s">
        <v>715</v>
      </c>
      <c r="F326" s="3" t="s">
        <v>14</v>
      </c>
      <c r="G326" s="3" t="str">
        <f aca="false">IF(LEFT(D326,3)="09S",LEFT(D326,14),D326)</f>
        <v>09S29QAR109477</v>
      </c>
      <c r="H326" s="9" t="str">
        <f aca="false">IF(COUNTIF(Conferência!$A$4:$A$336,F326)=0,"",IF(COUNTIFS(Conferência!$A$4:$A$336,F326,Conferência!$D$4:$D$336,G326)&gt;0,"Confere","Falta no Word"))</f>
        <v>Confere</v>
      </c>
      <c r="I326" s="3"/>
    </row>
    <row r="327" customFormat="false" ht="15" hidden="false" customHeight="false" outlineLevel="0" collapsed="false">
      <c r="A327" s="3" t="s">
        <v>712</v>
      </c>
      <c r="B327" s="3" t="s">
        <v>713</v>
      </c>
      <c r="C327" s="3" t="s">
        <v>717</v>
      </c>
      <c r="D327" s="3" t="s">
        <v>473</v>
      </c>
      <c r="E327" s="3" t="s">
        <v>715</v>
      </c>
      <c r="F327" s="3" t="s">
        <v>14</v>
      </c>
      <c r="G327" s="3" t="str">
        <f aca="false">IF(LEFT(D327,3)="09S",LEFT(D327,14),D327)</f>
        <v>09S29QAR110990</v>
      </c>
      <c r="H327" s="9" t="str">
        <f aca="false">IF(COUNTIF(Conferência!$A$4:$A$336,F327)=0,"",IF(COUNTIFS(Conferência!$A$4:$A$336,F327,Conferência!$D$4:$D$336,G327)&gt;0,"Confere","Falta no Word"))</f>
        <v>Confere</v>
      </c>
      <c r="I327" s="3"/>
    </row>
    <row r="328" customFormat="false" ht="15" hidden="false" customHeight="false" outlineLevel="0" collapsed="false">
      <c r="A328" s="3" t="s">
        <v>712</v>
      </c>
      <c r="B328" s="3" t="s">
        <v>713</v>
      </c>
      <c r="C328" s="3" t="s">
        <v>720</v>
      </c>
      <c r="D328" s="3" t="s">
        <v>876</v>
      </c>
      <c r="E328" s="3" t="s">
        <v>715</v>
      </c>
      <c r="F328" s="3" t="s">
        <v>14</v>
      </c>
      <c r="G328" s="3" t="str">
        <f aca="false">IF(LEFT(D328,3)="09S",LEFT(D328,14),D328)</f>
        <v>09S29QBR712411</v>
      </c>
      <c r="H328" s="9" t="str">
        <f aca="false">IF(COUNTIF(Conferência!$A$4:$A$336,F328)=0,"",IF(COUNTIFS(Conferência!$A$4:$A$336,F328,Conferência!$D$4:$D$336,G328)&gt;0,"Confere","Falta no Word"))</f>
        <v>Confere</v>
      </c>
      <c r="I328" s="3"/>
    </row>
    <row r="329" customFormat="false" ht="15" hidden="false" customHeight="false" outlineLevel="0" collapsed="false">
      <c r="A329" s="3" t="s">
        <v>712</v>
      </c>
      <c r="B329" s="3" t="s">
        <v>713</v>
      </c>
      <c r="C329" s="3" t="s">
        <v>720</v>
      </c>
      <c r="D329" s="3" t="s">
        <v>877</v>
      </c>
      <c r="E329" s="3" t="s">
        <v>715</v>
      </c>
      <c r="F329" s="3" t="s">
        <v>14</v>
      </c>
      <c r="G329" s="3" t="str">
        <f aca="false">IF(LEFT(D329,3)="09S",LEFT(D329,14),D329)</f>
        <v>09S29QBR722965</v>
      </c>
      <c r="H329" s="9" t="str">
        <f aca="false">IF(COUNTIF(Conferência!$A$4:$A$336,F329)=0,"",IF(COUNTIFS(Conferência!$A$4:$A$336,F329,Conferência!$D$4:$D$336,G329)&gt;0,"Confere","Falta no Word"))</f>
        <v>Confere</v>
      </c>
      <c r="I329" s="3"/>
    </row>
    <row r="330" customFormat="false" ht="15" hidden="false" customHeight="false" outlineLevel="0" collapsed="false">
      <c r="A330" s="3" t="s">
        <v>712</v>
      </c>
      <c r="B330" s="3" t="s">
        <v>713</v>
      </c>
      <c r="C330" s="3" t="s">
        <v>720</v>
      </c>
      <c r="D330" s="3" t="s">
        <v>878</v>
      </c>
      <c r="E330" s="3" t="s">
        <v>715</v>
      </c>
      <c r="F330" s="3" t="s">
        <v>14</v>
      </c>
      <c r="G330" s="3" t="str">
        <f aca="false">IF(LEFT(D330,3)="09S",LEFT(D330,14),D330)</f>
        <v>09S29QBR705449</v>
      </c>
      <c r="H330" s="9" t="str">
        <f aca="false">IF(COUNTIF(Conferência!$A$4:$A$336,F330)=0,"",IF(COUNTIFS(Conferência!$A$4:$A$336,F330,Conferência!$D$4:$D$336,G330)&gt;0,"Confere","Falta no Word"))</f>
        <v>Confere</v>
      </c>
      <c r="I330" s="3"/>
    </row>
    <row r="331" customFormat="false" ht="15" hidden="false" customHeight="false" outlineLevel="0" collapsed="false">
      <c r="A331" s="3" t="s">
        <v>712</v>
      </c>
      <c r="B331" s="3" t="s">
        <v>713</v>
      </c>
      <c r="C331" s="3" t="s">
        <v>720</v>
      </c>
      <c r="D331" s="3" t="s">
        <v>879</v>
      </c>
      <c r="E331" s="3" t="s">
        <v>715</v>
      </c>
      <c r="F331" s="3" t="s">
        <v>14</v>
      </c>
      <c r="G331" s="3" t="str">
        <f aca="false">IF(LEFT(D331,3)="09S",LEFT(D331,14),D331)</f>
        <v>09S29QBR701838</v>
      </c>
      <c r="H331" s="9" t="str">
        <f aca="false">IF(COUNTIF(Conferência!$A$4:$A$336,F331)=0,"",IF(COUNTIFS(Conferência!$A$4:$A$336,F331,Conferência!$D$4:$D$336,G331)&gt;0,"Confere","Falta no Word"))</f>
        <v>Confere</v>
      </c>
      <c r="I331" s="3"/>
    </row>
    <row r="332" customFormat="false" ht="15" hidden="false" customHeight="false" outlineLevel="0" collapsed="false">
      <c r="A332" s="3" t="s">
        <v>712</v>
      </c>
      <c r="B332" s="3" t="s">
        <v>713</v>
      </c>
      <c r="C332" s="3" t="s">
        <v>720</v>
      </c>
      <c r="D332" s="3" t="s">
        <v>880</v>
      </c>
      <c r="E332" s="3" t="s">
        <v>715</v>
      </c>
      <c r="F332" s="3" t="s">
        <v>14</v>
      </c>
      <c r="G332" s="3" t="str">
        <f aca="false">IF(LEFT(D332,3)="09S",LEFT(D332,14),D332)</f>
        <v>09S29QBR723296</v>
      </c>
      <c r="H332" s="9" t="str">
        <f aca="false">IF(COUNTIF(Conferência!$A$4:$A$336,F332)=0,"",IF(COUNTIFS(Conferência!$A$4:$A$336,F332,Conferência!$D$4:$D$336,G332)&gt;0,"Confere","Falta no Word"))</f>
        <v>Confere</v>
      </c>
      <c r="I332" s="3"/>
    </row>
    <row r="333" customFormat="false" ht="15" hidden="false" customHeight="false" outlineLevel="0" collapsed="false">
      <c r="A333" s="3" t="s">
        <v>712</v>
      </c>
      <c r="B333" s="3" t="s">
        <v>713</v>
      </c>
      <c r="C333" s="3" t="s">
        <v>720</v>
      </c>
      <c r="D333" s="3" t="s">
        <v>881</v>
      </c>
      <c r="E333" s="3" t="s">
        <v>715</v>
      </c>
      <c r="F333" s="3" t="s">
        <v>14</v>
      </c>
      <c r="G333" s="3" t="str">
        <f aca="false">IF(LEFT(D333,3)="09S",LEFT(D333,14),D333)</f>
        <v>09S29QAR804831</v>
      </c>
      <c r="H333" s="9" t="str">
        <f aca="false">IF(COUNTIF(Conferência!$A$4:$A$336,F333)=0,"",IF(COUNTIFS(Conferência!$A$4:$A$336,F333,Conferência!$D$4:$D$336,G333)&gt;0,"Confere","Falta no Word"))</f>
        <v>Confere</v>
      </c>
      <c r="I333" s="3"/>
    </row>
    <row r="334" customFormat="false" ht="15" hidden="false" customHeight="false" outlineLevel="0" collapsed="false">
      <c r="A334" s="3" t="s">
        <v>712</v>
      </c>
      <c r="B334" s="3" t="s">
        <v>713</v>
      </c>
      <c r="C334" s="3" t="s">
        <v>720</v>
      </c>
      <c r="D334" s="3" t="s">
        <v>882</v>
      </c>
      <c r="E334" s="3" t="s">
        <v>715</v>
      </c>
      <c r="F334" s="3" t="s">
        <v>14</v>
      </c>
      <c r="G334" s="3" t="str">
        <f aca="false">IF(LEFT(D334,3)="09S",LEFT(D334,14),D334)</f>
        <v>09S29QBR702487</v>
      </c>
      <c r="H334" s="9" t="str">
        <f aca="false">IF(COUNTIF(Conferência!$A$4:$A$336,F334)=0,"",IF(COUNTIFS(Conferência!$A$4:$A$336,F334,Conferência!$D$4:$D$336,G334)&gt;0,"Confere","Falta no Word"))</f>
        <v>Confere</v>
      </c>
      <c r="I334" s="3"/>
    </row>
    <row r="335" customFormat="false" ht="15" hidden="false" customHeight="false" outlineLevel="0" collapsed="false">
      <c r="A335" s="3" t="s">
        <v>712</v>
      </c>
      <c r="B335" s="3" t="s">
        <v>713</v>
      </c>
      <c r="C335" s="3" t="s">
        <v>720</v>
      </c>
      <c r="D335" s="3" t="s">
        <v>883</v>
      </c>
      <c r="E335" s="3" t="s">
        <v>715</v>
      </c>
      <c r="F335" s="3" t="s">
        <v>14</v>
      </c>
      <c r="G335" s="3" t="str">
        <f aca="false">IF(LEFT(D335,3)="09S",LEFT(D335,14),D335)</f>
        <v>09S29QAR700364</v>
      </c>
      <c r="H335" s="9" t="str">
        <f aca="false">IF(COUNTIF(Conferência!$A$4:$A$336,F335)=0,"",IF(COUNTIFS(Conferência!$A$4:$A$336,F335,Conferência!$D$4:$D$336,G335)&gt;0,"Confere","Falta no Word"))</f>
        <v>Confere</v>
      </c>
      <c r="I335" s="3"/>
    </row>
    <row r="336" customFormat="false" ht="15" hidden="false" customHeight="false" outlineLevel="0" collapsed="false">
      <c r="A336" s="3" t="s">
        <v>712</v>
      </c>
      <c r="B336" s="3" t="s">
        <v>713</v>
      </c>
      <c r="C336" s="3" t="s">
        <v>720</v>
      </c>
      <c r="D336" s="3" t="s">
        <v>884</v>
      </c>
      <c r="E336" s="3" t="s">
        <v>715</v>
      </c>
      <c r="F336" s="3" t="s">
        <v>14</v>
      </c>
      <c r="G336" s="3" t="str">
        <f aca="false">IF(LEFT(D336,3)="09S",LEFT(D336,14),D336)</f>
        <v>09S29QBR707017</v>
      </c>
      <c r="H336" s="9" t="str">
        <f aca="false">IF(COUNTIF(Conferência!$A$4:$A$336,F336)=0,"",IF(COUNTIFS(Conferência!$A$4:$A$336,F336,Conferência!$D$4:$D$336,G336)&gt;0,"Confere","Falta no Word"))</f>
        <v>Confere</v>
      </c>
      <c r="I336" s="3"/>
    </row>
    <row r="337" customFormat="false" ht="15" hidden="false" customHeight="false" outlineLevel="0" collapsed="false">
      <c r="A337" s="3" t="s">
        <v>712</v>
      </c>
      <c r="B337" s="3" t="s">
        <v>713</v>
      </c>
      <c r="C337" s="3" t="s">
        <v>720</v>
      </c>
      <c r="D337" s="3" t="s">
        <v>885</v>
      </c>
      <c r="E337" s="3" t="s">
        <v>715</v>
      </c>
      <c r="F337" s="3" t="s">
        <v>14</v>
      </c>
      <c r="G337" s="3" t="str">
        <f aca="false">IF(LEFT(D337,3)="09S",LEFT(D337,14),D337)</f>
        <v>09S29QBR702355</v>
      </c>
      <c r="H337" s="9" t="str">
        <f aca="false">IF(COUNTIF(Conferência!$A$4:$A$336,F337)=0,"",IF(COUNTIFS(Conferência!$A$4:$A$336,F337,Conferência!$D$4:$D$336,G337)&gt;0,"Confere","Falta no Word"))</f>
        <v>Confere</v>
      </c>
      <c r="I337" s="3"/>
    </row>
    <row r="338" customFormat="false" ht="15" hidden="false" customHeight="false" outlineLevel="0" collapsed="false">
      <c r="A338" s="3" t="s">
        <v>712</v>
      </c>
      <c r="B338" s="3" t="s">
        <v>713</v>
      </c>
      <c r="C338" s="3" t="s">
        <v>886</v>
      </c>
      <c r="D338" s="3" t="s">
        <v>887</v>
      </c>
      <c r="E338" s="3" t="s">
        <v>715</v>
      </c>
      <c r="F338" s="3" t="s">
        <v>14</v>
      </c>
      <c r="G338" s="3" t="str">
        <f aca="false">IF(LEFT(D338,3)="09S",LEFT(D338,14),D338)</f>
        <v>09S29QBR906192</v>
      </c>
      <c r="H338" s="9" t="str">
        <f aca="false">IF(COUNTIF(Conferência!$A$4:$A$336,F338)=0,"",IF(COUNTIFS(Conferência!$A$4:$A$336,F338,Conferência!$D$4:$D$336,G338)&gt;0,"Confere","Falta no Word"))</f>
        <v>Confere</v>
      </c>
      <c r="I338" s="3"/>
    </row>
    <row r="339" customFormat="false" ht="15" hidden="false" customHeight="false" outlineLevel="0" collapsed="false">
      <c r="A339" s="3" t="s">
        <v>712</v>
      </c>
      <c r="B339" s="3" t="s">
        <v>713</v>
      </c>
      <c r="C339" s="3" t="s">
        <v>717</v>
      </c>
      <c r="D339" s="3" t="s">
        <v>518</v>
      </c>
      <c r="E339" s="3" t="s">
        <v>715</v>
      </c>
      <c r="F339" s="3" t="s">
        <v>15</v>
      </c>
      <c r="G339" s="3" t="str">
        <f aca="false">IF(LEFT(D339,3)="09S",LEFT(D339,14),D339)</f>
        <v>09S29QAR109507</v>
      </c>
      <c r="H339" s="9" t="str">
        <f aca="false">IF(COUNTIF(Conferência!$A$4:$A$336,F339)=0,"",IF(COUNTIFS(Conferência!$A$4:$A$336,F339,Conferência!$D$4:$D$336,G339)&gt;0,"Confere","Falta no Word"))</f>
        <v>Confere</v>
      </c>
      <c r="I339" s="3"/>
    </row>
    <row r="340" customFormat="false" ht="15" hidden="false" customHeight="false" outlineLevel="0" collapsed="false">
      <c r="A340" s="3" t="s">
        <v>712</v>
      </c>
      <c r="B340" s="3" t="s">
        <v>713</v>
      </c>
      <c r="C340" s="3" t="s">
        <v>717</v>
      </c>
      <c r="D340" s="3" t="s">
        <v>535</v>
      </c>
      <c r="E340" s="3" t="s">
        <v>715</v>
      </c>
      <c r="F340" s="3" t="s">
        <v>15</v>
      </c>
      <c r="G340" s="3" t="str">
        <f aca="false">IF(LEFT(D340,3)="09S",LEFT(D340,14),D340)</f>
        <v>09S29QAR110693</v>
      </c>
      <c r="H340" s="9" t="str">
        <f aca="false">IF(COUNTIF(Conferência!$A$4:$A$336,F340)=0,"",IF(COUNTIFS(Conferência!$A$4:$A$336,F340,Conferência!$D$4:$D$336,G340)&gt;0,"Confere","Falta no Word"))</f>
        <v>Confere</v>
      </c>
      <c r="I340" s="3"/>
    </row>
    <row r="341" customFormat="false" ht="15" hidden="false" customHeight="false" outlineLevel="0" collapsed="false">
      <c r="A341" s="3" t="s">
        <v>712</v>
      </c>
      <c r="B341" s="3" t="s">
        <v>713</v>
      </c>
      <c r="C341" s="3" t="s">
        <v>717</v>
      </c>
      <c r="D341" s="3" t="s">
        <v>533</v>
      </c>
      <c r="E341" s="3" t="s">
        <v>715</v>
      </c>
      <c r="F341" s="3" t="s">
        <v>15</v>
      </c>
      <c r="G341" s="3" t="str">
        <f aca="false">IF(LEFT(D341,3)="09S",LEFT(D341,14),D341)</f>
        <v>09S29QAR109542</v>
      </c>
      <c r="H341" s="9" t="str">
        <f aca="false">IF(COUNTIF(Conferência!$A$4:$A$336,F341)=0,"",IF(COUNTIFS(Conferência!$A$4:$A$336,F341,Conferência!$D$4:$D$336,G341)&gt;0,"Confere","Falta no Word"))</f>
        <v>Confere</v>
      </c>
      <c r="I341" s="3"/>
    </row>
    <row r="342" customFormat="false" ht="15" hidden="false" customHeight="false" outlineLevel="0" collapsed="false">
      <c r="A342" s="3" t="s">
        <v>712</v>
      </c>
      <c r="B342" s="3" t="s">
        <v>713</v>
      </c>
      <c r="C342" s="3" t="s">
        <v>717</v>
      </c>
      <c r="D342" s="3" t="s">
        <v>139</v>
      </c>
      <c r="E342" s="3" t="s">
        <v>715</v>
      </c>
      <c r="F342" s="3" t="s">
        <v>15</v>
      </c>
      <c r="G342" s="3" t="str">
        <f aca="false">IF(LEFT(D342,3)="09S",LEFT(D342,14),D342)</f>
        <v>09S29QANC07195</v>
      </c>
      <c r="H342" s="9" t="str">
        <f aca="false">IF(COUNTIF(Conferência!$A$4:$A$336,F342)=0,"",IF(COUNTIFS(Conferência!$A$4:$A$336,F342,Conferência!$D$4:$D$336,G342)&gt;0,"Confere","Falta no Word"))</f>
        <v>Confere</v>
      </c>
      <c r="I342" s="3"/>
    </row>
    <row r="343" customFormat="false" ht="15" hidden="false" customHeight="false" outlineLevel="0" collapsed="false">
      <c r="A343" s="3" t="s">
        <v>712</v>
      </c>
      <c r="B343" s="3" t="s">
        <v>713</v>
      </c>
      <c r="C343" s="3" t="s">
        <v>717</v>
      </c>
      <c r="D343" s="3" t="s">
        <v>532</v>
      </c>
      <c r="E343" s="3" t="s">
        <v>715</v>
      </c>
      <c r="F343" s="3" t="s">
        <v>15</v>
      </c>
      <c r="G343" s="3" t="str">
        <f aca="false">IF(LEFT(D343,3)="09S",LEFT(D343,14),D343)</f>
        <v>09S29QAR110749</v>
      </c>
      <c r="H343" s="9" t="str">
        <f aca="false">IF(COUNTIF(Conferência!$A$4:$A$336,F343)=0,"",IF(COUNTIFS(Conferência!$A$4:$A$336,F343,Conferência!$D$4:$D$336,G343)&gt;0,"Confere","Falta no Word"))</f>
        <v>Confere</v>
      </c>
      <c r="I343" s="3"/>
    </row>
    <row r="344" customFormat="false" ht="15" hidden="false" customHeight="false" outlineLevel="0" collapsed="false">
      <c r="A344" s="3" t="s">
        <v>712</v>
      </c>
      <c r="B344" s="3" t="s">
        <v>713</v>
      </c>
      <c r="C344" s="3" t="s">
        <v>720</v>
      </c>
      <c r="D344" s="3" t="s">
        <v>143</v>
      </c>
      <c r="E344" s="3" t="s">
        <v>715</v>
      </c>
      <c r="F344" s="3" t="s">
        <v>15</v>
      </c>
      <c r="G344" s="3" t="str">
        <f aca="false">IF(LEFT(D344,3)="09S",LEFT(D344,14),D344)</f>
        <v>09S29QBR811879</v>
      </c>
      <c r="H344" s="9" t="str">
        <f aca="false">IF(COUNTIF(Conferência!$A$4:$A$336,F344)=0,"",IF(COUNTIFS(Conferência!$A$4:$A$336,F344,Conferência!$D$4:$D$336,G344)&gt;0,"Confere","Falta no Word"))</f>
        <v>Falta no Word</v>
      </c>
      <c r="I344" s="3" t="s">
        <v>888</v>
      </c>
    </row>
    <row r="345" customFormat="false" ht="15" hidden="false" customHeight="false" outlineLevel="0" collapsed="false">
      <c r="A345" s="3" t="s">
        <v>712</v>
      </c>
      <c r="B345" s="3" t="s">
        <v>713</v>
      </c>
      <c r="C345" s="3" t="s">
        <v>720</v>
      </c>
      <c r="D345" s="3" t="s">
        <v>889</v>
      </c>
      <c r="E345" s="3" t="s">
        <v>715</v>
      </c>
      <c r="F345" s="3" t="s">
        <v>15</v>
      </c>
      <c r="G345" s="3" t="str">
        <f aca="false">IF(LEFT(D345,3)="09S",LEFT(D345,14),D345)</f>
        <v>09S29QBR700412</v>
      </c>
      <c r="H345" s="9" t="str">
        <f aca="false">IF(COUNTIF(Conferência!$A$4:$A$336,F345)=0,"",IF(COUNTIFS(Conferência!$A$4:$A$336,F345,Conferência!$D$4:$D$336,G345)&gt;0,"Confere","Falta no Word"))</f>
        <v>Confere</v>
      </c>
      <c r="I345" s="3"/>
    </row>
    <row r="346" customFormat="false" ht="15" hidden="false" customHeight="false" outlineLevel="0" collapsed="false">
      <c r="A346" s="3" t="s">
        <v>712</v>
      </c>
      <c r="B346" s="3" t="s">
        <v>713</v>
      </c>
      <c r="C346" s="3" t="s">
        <v>720</v>
      </c>
      <c r="D346" s="3" t="s">
        <v>890</v>
      </c>
      <c r="E346" s="3" t="s">
        <v>715</v>
      </c>
      <c r="F346" s="3" t="s">
        <v>15</v>
      </c>
      <c r="G346" s="3" t="str">
        <f aca="false">IF(LEFT(D346,3)="09S",LEFT(D346,14),D346)</f>
        <v>09S29QBR704880</v>
      </c>
      <c r="H346" s="9" t="str">
        <f aca="false">IF(COUNTIF(Conferência!$A$4:$A$336,F346)=0,"",IF(COUNTIFS(Conferência!$A$4:$A$336,F346,Conferência!$D$4:$D$336,G346)&gt;0,"Confere","Falta no Word"))</f>
        <v>Confere</v>
      </c>
      <c r="I346" s="3"/>
    </row>
    <row r="347" customFormat="false" ht="15" hidden="false" customHeight="false" outlineLevel="0" collapsed="false">
      <c r="A347" s="3" t="s">
        <v>712</v>
      </c>
      <c r="B347" s="3" t="s">
        <v>713</v>
      </c>
      <c r="C347" s="3" t="s">
        <v>720</v>
      </c>
      <c r="D347" s="3" t="s">
        <v>891</v>
      </c>
      <c r="E347" s="3" t="s">
        <v>715</v>
      </c>
      <c r="F347" s="3" t="s">
        <v>15</v>
      </c>
      <c r="G347" s="3" t="str">
        <f aca="false">IF(LEFT(D347,3)="09S",LEFT(D347,14),D347)</f>
        <v>09S29QBR722988</v>
      </c>
      <c r="H347" s="9" t="str">
        <f aca="false">IF(COUNTIF(Conferência!$A$4:$A$336,F347)=0,"",IF(COUNTIFS(Conferência!$A$4:$A$336,F347,Conferência!$D$4:$D$336,G347)&gt;0,"Confere","Falta no Word"))</f>
        <v>Confere</v>
      </c>
      <c r="I347" s="3"/>
    </row>
    <row r="348" customFormat="false" ht="15" hidden="false" customHeight="false" outlineLevel="0" collapsed="false">
      <c r="A348" s="3" t="s">
        <v>712</v>
      </c>
      <c r="B348" s="3" t="s">
        <v>713</v>
      </c>
      <c r="C348" s="3" t="s">
        <v>720</v>
      </c>
      <c r="D348" s="3" t="s">
        <v>892</v>
      </c>
      <c r="E348" s="3" t="s">
        <v>715</v>
      </c>
      <c r="F348" s="3" t="s">
        <v>15</v>
      </c>
      <c r="G348" s="3" t="str">
        <f aca="false">IF(LEFT(D348,3)="09S",LEFT(D348,14),D348)</f>
        <v>09S29QBR702174</v>
      </c>
      <c r="H348" s="9" t="str">
        <f aca="false">IF(COUNTIF(Conferência!$A$4:$A$336,F348)=0,"",IF(COUNTIFS(Conferência!$A$4:$A$336,F348,Conferência!$D$4:$D$336,G348)&gt;0,"Confere","Falta no Word"))</f>
        <v>Confere</v>
      </c>
      <c r="I348" s="3"/>
    </row>
    <row r="349" customFormat="false" ht="15" hidden="false" customHeight="false" outlineLevel="0" collapsed="false">
      <c r="A349" s="3" t="s">
        <v>712</v>
      </c>
      <c r="B349" s="3" t="s">
        <v>713</v>
      </c>
      <c r="C349" s="3" t="s">
        <v>720</v>
      </c>
      <c r="D349" s="3" t="s">
        <v>893</v>
      </c>
      <c r="E349" s="3" t="s">
        <v>715</v>
      </c>
      <c r="F349" s="3" t="s">
        <v>15</v>
      </c>
      <c r="G349" s="3" t="str">
        <f aca="false">IF(LEFT(D349,3)="09S",LEFT(D349,14),D349)</f>
        <v>09S29QBR812790</v>
      </c>
      <c r="H349" s="9" t="str">
        <f aca="false">IF(COUNTIF(Conferência!$A$4:$A$336,F349)=0,"",IF(COUNTIFS(Conferência!$A$4:$A$336,F349,Conferência!$D$4:$D$336,G349)&gt;0,"Confere","Falta no Word"))</f>
        <v>Confere</v>
      </c>
      <c r="I349" s="3"/>
    </row>
    <row r="350" customFormat="false" ht="15" hidden="false" customHeight="false" outlineLevel="0" collapsed="false">
      <c r="A350" s="3" t="s">
        <v>712</v>
      </c>
      <c r="B350" s="3" t="s">
        <v>713</v>
      </c>
      <c r="C350" s="3" t="s">
        <v>886</v>
      </c>
      <c r="D350" s="3" t="s">
        <v>894</v>
      </c>
      <c r="E350" s="3" t="s">
        <v>715</v>
      </c>
      <c r="F350" s="3" t="s">
        <v>15</v>
      </c>
      <c r="G350" s="3" t="str">
        <f aca="false">IF(LEFT(D350,3)="09S",LEFT(D350,14),D350)</f>
        <v>09S29QBR901563</v>
      </c>
      <c r="H350" s="9" t="str">
        <f aca="false">IF(COUNTIF(Conferência!$A$4:$A$336,F350)=0,"",IF(COUNTIFS(Conferência!$A$4:$A$336,F350,Conferência!$D$4:$D$336,G350)&gt;0,"Confere","Falta no Word"))</f>
        <v>Confere</v>
      </c>
      <c r="I350" s="3"/>
    </row>
    <row r="351" customFormat="false" ht="15" hidden="false" customHeight="false" outlineLevel="0" collapsed="false">
      <c r="A351" s="3" t="s">
        <v>712</v>
      </c>
      <c r="B351" s="3" t="s">
        <v>713</v>
      </c>
      <c r="C351" s="3" t="s">
        <v>886</v>
      </c>
      <c r="D351" s="3" t="s">
        <v>895</v>
      </c>
      <c r="E351" s="3" t="s">
        <v>715</v>
      </c>
      <c r="F351" s="3" t="s">
        <v>15</v>
      </c>
      <c r="G351" s="3" t="str">
        <f aca="false">IF(LEFT(D351,3)="09S",LEFT(D351,14),D351)</f>
        <v>09S29QAR804854</v>
      </c>
      <c r="H351" s="9" t="str">
        <f aca="false">IF(COUNTIF(Conferência!$A$4:$A$336,F351)=0,"",IF(COUNTIFS(Conferência!$A$4:$A$336,F351,Conferência!$D$4:$D$336,G351)&gt;0,"Confere","Falta no Word"))</f>
        <v>Confere</v>
      </c>
      <c r="I351" s="3"/>
    </row>
    <row r="352" customFormat="false" ht="15" hidden="false" customHeight="false" outlineLevel="0" collapsed="false">
      <c r="A352" s="3" t="s">
        <v>712</v>
      </c>
      <c r="B352" s="3" t="s">
        <v>713</v>
      </c>
      <c r="C352" s="3" t="s">
        <v>886</v>
      </c>
      <c r="D352" s="3" t="s">
        <v>896</v>
      </c>
      <c r="E352" s="3" t="s">
        <v>715</v>
      </c>
      <c r="F352" s="3" t="s">
        <v>15</v>
      </c>
      <c r="G352" s="3" t="str">
        <f aca="false">IF(LEFT(D352,3)="09S",LEFT(D352,14),D352)</f>
        <v>09S29QAR901751</v>
      </c>
      <c r="H352" s="9" t="str">
        <f aca="false">IF(COUNTIF(Conferência!$A$4:$A$336,F352)=0,"",IF(COUNTIFS(Conferência!$A$4:$A$336,F352,Conferência!$D$4:$D$336,G352)&gt;0,"Confere","Falta no Word"))</f>
        <v>Confere</v>
      </c>
      <c r="I352" s="3"/>
    </row>
    <row r="353" customFormat="false" ht="15" hidden="false" customHeight="false" outlineLevel="0" collapsed="false">
      <c r="A353" s="3" t="s">
        <v>712</v>
      </c>
      <c r="B353" s="3" t="s">
        <v>713</v>
      </c>
      <c r="C353" s="3" t="s">
        <v>886</v>
      </c>
      <c r="D353" s="3" t="s">
        <v>897</v>
      </c>
      <c r="E353" s="3" t="s">
        <v>715</v>
      </c>
      <c r="F353" s="3" t="s">
        <v>15</v>
      </c>
      <c r="G353" s="3" t="str">
        <f aca="false">IF(LEFT(D353,3)="09S",LEFT(D353,14),D353)</f>
        <v>09S29QBR812869</v>
      </c>
      <c r="H353" s="9" t="str">
        <f aca="false">IF(COUNTIF(Conferência!$A$4:$A$336,F353)=0,"",IF(COUNTIFS(Conferência!$A$4:$A$336,F353,Conferência!$D$4:$D$336,G353)&gt;0,"Confere","Falta no Word"))</f>
        <v>Confere</v>
      </c>
      <c r="I353" s="3"/>
    </row>
    <row r="354" customFormat="false" ht="15" hidden="false" customHeight="false" outlineLevel="0" collapsed="false">
      <c r="A354" s="3" t="s">
        <v>712</v>
      </c>
      <c r="B354" s="3" t="s">
        <v>713</v>
      </c>
      <c r="C354" s="3" t="s">
        <v>886</v>
      </c>
      <c r="D354" s="3" t="s">
        <v>898</v>
      </c>
      <c r="E354" s="3" t="s">
        <v>715</v>
      </c>
      <c r="F354" s="3" t="s">
        <v>15</v>
      </c>
      <c r="G354" s="3" t="str">
        <f aca="false">IF(LEFT(D354,3)="09S",LEFT(D354,14),D354)</f>
        <v>09S29QAR804939</v>
      </c>
      <c r="H354" s="9" t="str">
        <f aca="false">IF(COUNTIF(Conferência!$A$4:$A$336,F354)=0,"",IF(COUNTIFS(Conferência!$A$4:$A$336,F354,Conferência!$D$4:$D$336,G354)&gt;0,"Confere","Falta no Word"))</f>
        <v>Confere</v>
      </c>
      <c r="I354" s="3"/>
    </row>
    <row r="355" customFormat="false" ht="15" hidden="false" customHeight="false" outlineLevel="0" collapsed="false">
      <c r="A355" s="3" t="s">
        <v>712</v>
      </c>
      <c r="B355" s="3" t="s">
        <v>713</v>
      </c>
      <c r="C355" s="3" t="s">
        <v>886</v>
      </c>
      <c r="D355" s="3" t="s">
        <v>899</v>
      </c>
      <c r="E355" s="3" t="s">
        <v>715</v>
      </c>
      <c r="F355" s="3" t="s">
        <v>15</v>
      </c>
      <c r="G355" s="3" t="str">
        <f aca="false">IF(LEFT(D355,3)="09S",LEFT(D355,14),D355)</f>
        <v>09S29QBR814246</v>
      </c>
      <c r="H355" s="9" t="str">
        <f aca="false">IF(COUNTIF(Conferência!$A$4:$A$336,F355)=0,"",IF(COUNTIFS(Conferência!$A$4:$A$336,F355,Conferência!$D$4:$D$336,G355)&gt;0,"Confere","Falta no Word"))</f>
        <v>Confere</v>
      </c>
      <c r="I355" s="3"/>
    </row>
    <row r="356" customFormat="false" ht="15" hidden="false" customHeight="false" outlineLevel="0" collapsed="false">
      <c r="A356" s="3" t="s">
        <v>712</v>
      </c>
      <c r="B356" s="3" t="s">
        <v>713</v>
      </c>
      <c r="C356" s="3" t="s">
        <v>886</v>
      </c>
      <c r="D356" s="3" t="s">
        <v>135</v>
      </c>
      <c r="E356" s="3" t="s">
        <v>715</v>
      </c>
      <c r="F356" s="3" t="s">
        <v>15</v>
      </c>
      <c r="G356" s="3" t="str">
        <f aca="false">IF(LEFT(D356,3)="09S",LEFT(D356,14),D356)</f>
        <v>09S29QBR906223</v>
      </c>
      <c r="H356" s="9" t="str">
        <f aca="false">IF(COUNTIF(Conferência!$A$4:$A$336,F356)=0,"",IF(COUNTIFS(Conferência!$A$4:$A$336,F356,Conferência!$D$4:$D$336,G356)&gt;0,"Confere","Falta no Word"))</f>
        <v>Falta no Word</v>
      </c>
      <c r="I356" s="3" t="s">
        <v>900</v>
      </c>
    </row>
    <row r="357" customFormat="false" ht="15" hidden="false" customHeight="false" outlineLevel="0" collapsed="false">
      <c r="A357" s="3" t="s">
        <v>712</v>
      </c>
      <c r="B357" s="3" t="s">
        <v>713</v>
      </c>
      <c r="C357" s="3" t="s">
        <v>886</v>
      </c>
      <c r="D357" s="3" t="s">
        <v>127</v>
      </c>
      <c r="E357" s="3" t="s">
        <v>715</v>
      </c>
      <c r="F357" s="3" t="s">
        <v>15</v>
      </c>
      <c r="G357" s="3" t="str">
        <f aca="false">IF(LEFT(D357,3)="09S",LEFT(D357,14),D357)</f>
        <v>09S29QBR906225</v>
      </c>
      <c r="H357" s="9" t="str">
        <f aca="false">IF(COUNTIF(Conferência!$A$4:$A$336,F357)=0,"",IF(COUNTIFS(Conferência!$A$4:$A$336,F357,Conferência!$D$4:$D$336,G357)&gt;0,"Confere","Falta no Word"))</f>
        <v>Falta no Word</v>
      </c>
      <c r="I357" s="3" t="s">
        <v>901</v>
      </c>
    </row>
    <row r="358" customFormat="false" ht="15" hidden="false" customHeight="false" outlineLevel="0" collapsed="false">
      <c r="A358" s="3" t="s">
        <v>712</v>
      </c>
      <c r="B358" s="3" t="s">
        <v>713</v>
      </c>
      <c r="C358" s="3" t="s">
        <v>886</v>
      </c>
      <c r="D358" s="3" t="s">
        <v>902</v>
      </c>
      <c r="E358" s="3" t="s">
        <v>715</v>
      </c>
      <c r="F358" s="3" t="s">
        <v>15</v>
      </c>
      <c r="G358" s="3" t="str">
        <f aca="false">IF(LEFT(D358,3)="09S",LEFT(D358,14),D358)</f>
        <v>09S29QBR809029</v>
      </c>
      <c r="H358" s="9" t="str">
        <f aca="false">IF(COUNTIF(Conferência!$A$4:$A$336,F358)=0,"",IF(COUNTIFS(Conferência!$A$4:$A$336,F358,Conferência!$D$4:$D$336,G358)&gt;0,"Confere","Falta no Word"))</f>
        <v>Confere</v>
      </c>
      <c r="I358" s="3"/>
    </row>
    <row r="359" customFormat="false" ht="15" hidden="false" customHeight="false" outlineLevel="0" collapsed="false">
      <c r="A359" s="3" t="s">
        <v>712</v>
      </c>
      <c r="B359" s="3" t="s">
        <v>713</v>
      </c>
      <c r="C359" s="3" t="s">
        <v>886</v>
      </c>
      <c r="D359" s="3" t="s">
        <v>903</v>
      </c>
      <c r="E359" s="3" t="s">
        <v>715</v>
      </c>
      <c r="F359" s="3" t="s">
        <v>15</v>
      </c>
      <c r="G359" s="3" t="str">
        <f aca="false">IF(LEFT(D359,3)="09S",LEFT(D359,14),D359)</f>
        <v>09S29QAR413829</v>
      </c>
      <c r="H359" s="9" t="str">
        <f aca="false">IF(COUNTIF(Conferência!$A$4:$A$336,F359)=0,"",IF(COUNTIFS(Conferência!$A$4:$A$336,F359,Conferência!$D$4:$D$336,G359)&gt;0,"Confere","Falta no Word"))</f>
        <v>Confere</v>
      </c>
      <c r="I359" s="3"/>
    </row>
    <row r="360" customFormat="false" ht="15" hidden="false" customHeight="false" outlineLevel="0" collapsed="false">
      <c r="A360" s="3" t="s">
        <v>712</v>
      </c>
      <c r="B360" s="3" t="s">
        <v>713</v>
      </c>
      <c r="C360" s="3" t="s">
        <v>886</v>
      </c>
      <c r="D360" s="3" t="s">
        <v>904</v>
      </c>
      <c r="E360" s="3" t="s">
        <v>715</v>
      </c>
      <c r="F360" s="3" t="s">
        <v>15</v>
      </c>
      <c r="G360" s="3" t="str">
        <f aca="false">IF(LEFT(D360,3)="09S",LEFT(D360,14),D360)</f>
        <v>09S29QBR906228</v>
      </c>
      <c r="H360" s="9" t="str">
        <f aca="false">IF(COUNTIF(Conferência!$A$4:$A$336,F360)=0,"",IF(COUNTIFS(Conferência!$A$4:$A$336,F360,Conferência!$D$4:$D$336,G360)&gt;0,"Confere","Falta no Word"))</f>
        <v>Confere</v>
      </c>
      <c r="I360" s="3"/>
    </row>
    <row r="361" customFormat="false" ht="15" hidden="false" customHeight="false" outlineLevel="0" collapsed="false">
      <c r="A361" s="3" t="s">
        <v>712</v>
      </c>
      <c r="B361" s="3" t="s">
        <v>713</v>
      </c>
      <c r="C361" s="3" t="s">
        <v>886</v>
      </c>
      <c r="D361" s="3" t="s">
        <v>905</v>
      </c>
      <c r="E361" s="3" t="s">
        <v>715</v>
      </c>
      <c r="F361" s="3" t="s">
        <v>15</v>
      </c>
      <c r="G361" s="3" t="str">
        <f aca="false">IF(LEFT(D361,3)="09S",LEFT(D361,14),D361)</f>
        <v>09S29QAR804857</v>
      </c>
      <c r="H361" s="9" t="str">
        <f aca="false">IF(COUNTIF(Conferência!$A$4:$A$336,F361)=0,"",IF(COUNTIFS(Conferência!$A$4:$A$336,F361,Conferência!$D$4:$D$336,G361)&gt;0,"Confere","Falta no Word"))</f>
        <v>Confere</v>
      </c>
      <c r="I361" s="3"/>
    </row>
    <row r="362" customFormat="false" ht="15" hidden="false" customHeight="false" outlineLevel="0" collapsed="false">
      <c r="A362" s="3" t="s">
        <v>712</v>
      </c>
      <c r="B362" s="3" t="s">
        <v>713</v>
      </c>
      <c r="C362" s="3" t="s">
        <v>886</v>
      </c>
      <c r="D362" s="3" t="s">
        <v>906</v>
      </c>
      <c r="E362" s="3" t="s">
        <v>715</v>
      </c>
      <c r="F362" s="3" t="s">
        <v>15</v>
      </c>
      <c r="G362" s="3" t="str">
        <f aca="false">IF(LEFT(D362,3)="09S",LEFT(D362,14),D362)</f>
        <v>09S29QBR809485</v>
      </c>
      <c r="H362" s="9" t="str">
        <f aca="false">IF(COUNTIF(Conferência!$A$4:$A$336,F362)=0,"",IF(COUNTIFS(Conferência!$A$4:$A$336,F362,Conferência!$D$4:$D$336,G362)&gt;0,"Confere","Falta no Word"))</f>
        <v>Confere</v>
      </c>
      <c r="I362" s="3"/>
    </row>
    <row r="363" customFormat="false" ht="15" hidden="false" customHeight="false" outlineLevel="0" collapsed="false">
      <c r="A363" s="3" t="s">
        <v>712</v>
      </c>
      <c r="B363" s="3" t="s">
        <v>713</v>
      </c>
      <c r="C363" s="3" t="s">
        <v>886</v>
      </c>
      <c r="D363" s="3" t="s">
        <v>907</v>
      </c>
      <c r="E363" s="3" t="s">
        <v>715</v>
      </c>
      <c r="F363" s="3" t="s">
        <v>15</v>
      </c>
      <c r="G363" s="3" t="str">
        <f aca="false">IF(LEFT(D363,3)="09S",LEFT(D363,14),D363)</f>
        <v>09S29QAR804945</v>
      </c>
      <c r="H363" s="9" t="str">
        <f aca="false">IF(COUNTIF(Conferência!$A$4:$A$336,F363)=0,"",IF(COUNTIFS(Conferência!$A$4:$A$336,F363,Conferência!$D$4:$D$336,G363)&gt;0,"Confere","Falta no Word"))</f>
        <v>Confere</v>
      </c>
      <c r="I363" s="3"/>
    </row>
    <row r="364" customFormat="false" ht="15" hidden="false" customHeight="false" outlineLevel="0" collapsed="false">
      <c r="A364" s="3" t="s">
        <v>712</v>
      </c>
      <c r="B364" s="3" t="s">
        <v>713</v>
      </c>
      <c r="C364" s="3" t="s">
        <v>886</v>
      </c>
      <c r="D364" s="3" t="s">
        <v>908</v>
      </c>
      <c r="E364" s="3" t="s">
        <v>715</v>
      </c>
      <c r="F364" s="3" t="s">
        <v>15</v>
      </c>
      <c r="G364" s="3" t="str">
        <f aca="false">IF(LEFT(D364,3)="09S",LEFT(D364,14),D364)</f>
        <v>09S29QBR807684</v>
      </c>
      <c r="H364" s="9" t="str">
        <f aca="false">IF(COUNTIF(Conferência!$A$4:$A$336,F364)=0,"",IF(COUNTIFS(Conferência!$A$4:$A$336,F364,Conferência!$D$4:$D$336,G364)&gt;0,"Confere","Falta no Word"))</f>
        <v>Confere</v>
      </c>
      <c r="I364" s="3"/>
    </row>
    <row r="365" customFormat="false" ht="15" hidden="false" customHeight="false" outlineLevel="0" collapsed="false">
      <c r="A365" s="3" t="s">
        <v>712</v>
      </c>
      <c r="B365" s="3" t="s">
        <v>713</v>
      </c>
      <c r="C365" s="3" t="s">
        <v>886</v>
      </c>
      <c r="D365" s="3" t="s">
        <v>909</v>
      </c>
      <c r="E365" s="3" t="s">
        <v>715</v>
      </c>
      <c r="F365" s="3" t="s">
        <v>15</v>
      </c>
      <c r="G365" s="3" t="str">
        <f aca="false">IF(LEFT(D365,3)="09S",LEFT(D365,14),D365)</f>
        <v>09S29QBR809040</v>
      </c>
      <c r="H365" s="9" t="str">
        <f aca="false">IF(COUNTIF(Conferência!$A$4:$A$336,F365)=0,"",IF(COUNTIFS(Conferência!$A$4:$A$336,F365,Conferência!$D$4:$D$336,G365)&gt;0,"Confere","Falta no Word"))</f>
        <v>Confere</v>
      </c>
      <c r="I365" s="3"/>
    </row>
    <row r="366" customFormat="false" ht="15" hidden="false" customHeight="false" outlineLevel="0" collapsed="false">
      <c r="A366" s="3" t="s">
        <v>712</v>
      </c>
      <c r="B366" s="3" t="s">
        <v>713</v>
      </c>
      <c r="C366" s="3" t="s">
        <v>886</v>
      </c>
      <c r="D366" s="3" t="s">
        <v>910</v>
      </c>
      <c r="E366" s="3" t="s">
        <v>715</v>
      </c>
      <c r="F366" s="3" t="s">
        <v>15</v>
      </c>
      <c r="G366" s="3" t="str">
        <f aca="false">IF(LEFT(D366,3)="09S",LEFT(D366,14),D366)</f>
        <v>09S29QBR808962</v>
      </c>
      <c r="H366" s="9" t="str">
        <f aca="false">IF(COUNTIF(Conferência!$A$4:$A$336,F366)=0,"",IF(COUNTIFS(Conferência!$A$4:$A$336,F366,Conferência!$D$4:$D$336,G366)&gt;0,"Confere","Falta no Word"))</f>
        <v>Confere</v>
      </c>
      <c r="I366" s="3"/>
    </row>
    <row r="367" customFormat="false" ht="15" hidden="false" customHeight="false" outlineLevel="0" collapsed="false">
      <c r="A367" s="3" t="s">
        <v>712</v>
      </c>
      <c r="B367" s="3" t="s">
        <v>713</v>
      </c>
      <c r="C367" s="3" t="s">
        <v>886</v>
      </c>
      <c r="D367" s="3" t="s">
        <v>911</v>
      </c>
      <c r="E367" s="3" t="s">
        <v>715</v>
      </c>
      <c r="F367" s="3" t="s">
        <v>15</v>
      </c>
      <c r="G367" s="3" t="str">
        <f aca="false">IF(LEFT(D367,3)="09S",LEFT(D367,14),D367)</f>
        <v>09S29QBR811252</v>
      </c>
      <c r="H367" s="9" t="str">
        <f aca="false">IF(COUNTIF(Conferência!$A$4:$A$336,F367)=0,"",IF(COUNTIFS(Conferência!$A$4:$A$336,F367,Conferência!$D$4:$D$336,G367)&gt;0,"Confere","Falta no Word"))</f>
        <v>Confere</v>
      </c>
      <c r="I367" s="3"/>
    </row>
    <row r="368" customFormat="false" ht="15" hidden="false" customHeight="false" outlineLevel="0" collapsed="false">
      <c r="A368" s="3" t="s">
        <v>712</v>
      </c>
      <c r="B368" s="3" t="s">
        <v>713</v>
      </c>
      <c r="C368" s="3" t="s">
        <v>717</v>
      </c>
      <c r="D368" s="3" t="s">
        <v>159</v>
      </c>
      <c r="E368" s="3" t="s">
        <v>715</v>
      </c>
      <c r="F368" s="3" t="s">
        <v>16</v>
      </c>
      <c r="G368" s="3" t="str">
        <f aca="false">IF(LEFT(D368,3)="09S",LEFT(D368,14),D368)</f>
        <v>09S29QAR110966</v>
      </c>
      <c r="H368" s="9" t="str">
        <f aca="false">IF(COUNTIF(Conferência!$A$4:$A$336,F368)=0,"",IF(COUNTIFS(Conferência!$A$4:$A$336,F368,Conferência!$D$4:$D$336,G368)&gt;0,"Confere","Falta no Word"))</f>
        <v>Falta no Word</v>
      </c>
      <c r="I368" s="3" t="s">
        <v>912</v>
      </c>
    </row>
    <row r="369" customFormat="false" ht="15" hidden="false" customHeight="false" outlineLevel="0" collapsed="false">
      <c r="A369" s="3" t="s">
        <v>712</v>
      </c>
      <c r="B369" s="3" t="s">
        <v>713</v>
      </c>
      <c r="C369" s="3" t="s">
        <v>720</v>
      </c>
      <c r="D369" s="3" t="s">
        <v>913</v>
      </c>
      <c r="E369" s="3" t="s">
        <v>715</v>
      </c>
      <c r="F369" s="3" t="s">
        <v>16</v>
      </c>
      <c r="G369" s="3" t="str">
        <f aca="false">IF(LEFT(D369,3)="09S",LEFT(D369,14),D369)</f>
        <v>09S29QBR707691</v>
      </c>
      <c r="H369" s="9" t="str">
        <f aca="false">IF(COUNTIF(Conferência!$A$4:$A$336,F369)=0,"",IF(COUNTIFS(Conferência!$A$4:$A$336,F369,Conferência!$D$4:$D$336,G369)&gt;0,"Confere","Falta no Word"))</f>
        <v>Confere</v>
      </c>
      <c r="I369" s="3"/>
    </row>
    <row r="370" customFormat="false" ht="15" hidden="false" customHeight="false" outlineLevel="0" collapsed="false">
      <c r="A370" s="3" t="s">
        <v>712</v>
      </c>
      <c r="B370" s="3" t="s">
        <v>713</v>
      </c>
      <c r="C370" s="3" t="s">
        <v>720</v>
      </c>
      <c r="D370" s="3" t="s">
        <v>914</v>
      </c>
      <c r="E370" s="3" t="s">
        <v>715</v>
      </c>
      <c r="F370" s="3" t="s">
        <v>16</v>
      </c>
      <c r="G370" s="3" t="str">
        <f aca="false">IF(LEFT(D370,3)="09S",LEFT(D370,14),D370)</f>
        <v>09S29QBR704305</v>
      </c>
      <c r="H370" s="9" t="str">
        <f aca="false">IF(COUNTIF(Conferência!$A$4:$A$336,F370)=0,"",IF(COUNTIFS(Conferência!$A$4:$A$336,F370,Conferência!$D$4:$D$336,G370)&gt;0,"Confere","Falta no Word"))</f>
        <v>Confere</v>
      </c>
      <c r="I370" s="3"/>
    </row>
    <row r="371" customFormat="false" ht="15" hidden="false" customHeight="false" outlineLevel="0" collapsed="false">
      <c r="A371" s="3" t="s">
        <v>712</v>
      </c>
      <c r="B371" s="3" t="s">
        <v>713</v>
      </c>
      <c r="C371" s="3" t="s">
        <v>720</v>
      </c>
      <c r="D371" s="3" t="s">
        <v>915</v>
      </c>
      <c r="E371" s="3" t="s">
        <v>715</v>
      </c>
      <c r="F371" s="3" t="s">
        <v>16</v>
      </c>
      <c r="G371" s="3" t="str">
        <f aca="false">IF(LEFT(D371,3)="09S",LEFT(D371,14),D371)</f>
        <v>09S29QBR723253</v>
      </c>
      <c r="H371" s="9" t="str">
        <f aca="false">IF(COUNTIF(Conferência!$A$4:$A$336,F371)=0,"",IF(COUNTIFS(Conferência!$A$4:$A$336,F371,Conferência!$D$4:$D$336,G371)&gt;0,"Confere","Falta no Word"))</f>
        <v>Confere</v>
      </c>
      <c r="I371" s="3"/>
    </row>
    <row r="372" customFormat="false" ht="15" hidden="false" customHeight="false" outlineLevel="0" collapsed="false">
      <c r="A372" s="3" t="s">
        <v>712</v>
      </c>
      <c r="B372" s="3" t="s">
        <v>713</v>
      </c>
      <c r="C372" s="3" t="s">
        <v>720</v>
      </c>
      <c r="D372" s="3" t="s">
        <v>148</v>
      </c>
      <c r="E372" s="3" t="s">
        <v>715</v>
      </c>
      <c r="F372" s="3" t="s">
        <v>16</v>
      </c>
      <c r="G372" s="3" t="str">
        <f aca="false">IF(LEFT(D372,3)="09S",LEFT(D372,14),D372)</f>
        <v>09S29QAR700216</v>
      </c>
      <c r="H372" s="9" t="str">
        <f aca="false">IF(COUNTIF(Conferência!$A$4:$A$336,F372)=0,"",IF(COUNTIFS(Conferência!$A$4:$A$336,F372,Conferência!$D$4:$D$336,G372)&gt;0,"Confere","Falta no Word"))</f>
        <v>Falta no Word</v>
      </c>
      <c r="I372" s="3" t="s">
        <v>916</v>
      </c>
    </row>
    <row r="373" customFormat="false" ht="15" hidden="false" customHeight="false" outlineLevel="0" collapsed="false">
      <c r="A373" s="3" t="s">
        <v>712</v>
      </c>
      <c r="B373" s="3" t="s">
        <v>713</v>
      </c>
      <c r="C373" s="3" t="s">
        <v>720</v>
      </c>
      <c r="D373" s="3" t="s">
        <v>917</v>
      </c>
      <c r="E373" s="3" t="s">
        <v>715</v>
      </c>
      <c r="F373" s="3" t="s">
        <v>16</v>
      </c>
      <c r="G373" s="3" t="str">
        <f aca="false">IF(LEFT(D373,3)="09S",LEFT(D373,14),D373)</f>
        <v>09S29QBR712386</v>
      </c>
      <c r="H373" s="9" t="str">
        <f aca="false">IF(COUNTIF(Conferência!$A$4:$A$336,F373)=0,"",IF(COUNTIFS(Conferência!$A$4:$A$336,F373,Conferência!$D$4:$D$336,G373)&gt;0,"Confere","Falta no Word"))</f>
        <v>Confere</v>
      </c>
      <c r="I373" s="3"/>
    </row>
    <row r="374" customFormat="false" ht="15" hidden="false" customHeight="false" outlineLevel="0" collapsed="false">
      <c r="A374" s="3" t="s">
        <v>712</v>
      </c>
      <c r="B374" s="3" t="s">
        <v>713</v>
      </c>
      <c r="C374" s="3" t="s">
        <v>720</v>
      </c>
      <c r="D374" s="3" t="s">
        <v>918</v>
      </c>
      <c r="E374" s="3" t="s">
        <v>715</v>
      </c>
      <c r="F374" s="3" t="s">
        <v>16</v>
      </c>
      <c r="G374" s="3" t="str">
        <f aca="false">IF(LEFT(D374,3)="09S",LEFT(D374,14),D374)</f>
        <v>09S29QBR711518</v>
      </c>
      <c r="H374" s="9" t="str">
        <f aca="false">IF(COUNTIF(Conferência!$A$4:$A$336,F374)=0,"",IF(COUNTIFS(Conferência!$A$4:$A$336,F374,Conferência!$D$4:$D$336,G374)&gt;0,"Confere","Falta no Word"))</f>
        <v>Confere</v>
      </c>
      <c r="I374" s="3"/>
    </row>
    <row r="375" customFormat="false" ht="15" hidden="false" customHeight="false" outlineLevel="0" collapsed="false">
      <c r="A375" s="3" t="s">
        <v>712</v>
      </c>
      <c r="B375" s="3" t="s">
        <v>713</v>
      </c>
      <c r="C375" s="3" t="s">
        <v>720</v>
      </c>
      <c r="D375" s="3" t="s">
        <v>919</v>
      </c>
      <c r="E375" s="3" t="s">
        <v>715</v>
      </c>
      <c r="F375" s="3" t="s">
        <v>16</v>
      </c>
      <c r="G375" s="3" t="str">
        <f aca="false">IF(LEFT(D375,3)="09S",LEFT(D375,14),D375)</f>
        <v>09S29QBR722618</v>
      </c>
      <c r="H375" s="9" t="str">
        <f aca="false">IF(COUNTIF(Conferência!$A$4:$A$336,F375)=0,"",IF(COUNTIFS(Conferência!$A$4:$A$336,F375,Conferência!$D$4:$D$336,G375)&gt;0,"Confere","Falta no Word"))</f>
        <v>Confere</v>
      </c>
      <c r="I375" s="3"/>
    </row>
    <row r="376" customFormat="false" ht="15" hidden="false" customHeight="false" outlineLevel="0" collapsed="false">
      <c r="A376" s="3" t="s">
        <v>712</v>
      </c>
      <c r="B376" s="3" t="s">
        <v>713</v>
      </c>
      <c r="C376" s="3" t="s">
        <v>720</v>
      </c>
      <c r="D376" s="3" t="s">
        <v>920</v>
      </c>
      <c r="E376" s="3" t="s">
        <v>715</v>
      </c>
      <c r="F376" s="3" t="s">
        <v>16</v>
      </c>
      <c r="G376" s="3" t="str">
        <f aca="false">IF(LEFT(D376,3)="09S",LEFT(D376,14),D376)</f>
        <v>09S29QBR703384</v>
      </c>
      <c r="H376" s="9" t="str">
        <f aca="false">IF(COUNTIF(Conferência!$A$4:$A$336,F376)=0,"",IF(COUNTIFS(Conferência!$A$4:$A$336,F376,Conferência!$D$4:$D$336,G376)&gt;0,"Confere","Falta no Word"))</f>
        <v>Confere</v>
      </c>
      <c r="I376" s="3"/>
    </row>
    <row r="377" customFormat="false" ht="15" hidden="false" customHeight="false" outlineLevel="0" collapsed="false">
      <c r="A377" s="3" t="s">
        <v>712</v>
      </c>
      <c r="B377" s="3" t="s">
        <v>713</v>
      </c>
      <c r="C377" s="3" t="s">
        <v>720</v>
      </c>
      <c r="D377" s="3" t="s">
        <v>921</v>
      </c>
      <c r="E377" s="3" t="s">
        <v>715</v>
      </c>
      <c r="F377" s="3" t="s">
        <v>16</v>
      </c>
      <c r="G377" s="3" t="str">
        <f aca="false">IF(LEFT(D377,3)="09S",LEFT(D377,14),D377)</f>
        <v>09S29QBR723213</v>
      </c>
      <c r="H377" s="9" t="str">
        <f aca="false">IF(COUNTIF(Conferência!$A$4:$A$336,F377)=0,"",IF(COUNTIFS(Conferência!$A$4:$A$336,F377,Conferência!$D$4:$D$336,G377)&gt;0,"Confere","Falta no Word"))</f>
        <v>Confere</v>
      </c>
      <c r="I377" s="3"/>
    </row>
    <row r="378" customFormat="false" ht="15" hidden="false" customHeight="false" outlineLevel="0" collapsed="false">
      <c r="A378" s="3" t="s">
        <v>712</v>
      </c>
      <c r="B378" s="3" t="s">
        <v>713</v>
      </c>
      <c r="C378" s="3" t="s">
        <v>720</v>
      </c>
      <c r="D378" s="3" t="s">
        <v>922</v>
      </c>
      <c r="E378" s="3" t="s">
        <v>715</v>
      </c>
      <c r="F378" s="3" t="s">
        <v>16</v>
      </c>
      <c r="G378" s="3" t="str">
        <f aca="false">IF(LEFT(D378,3)="09S",LEFT(D378,14),D378)</f>
        <v>09S29QBR702144</v>
      </c>
      <c r="H378" s="9" t="str">
        <f aca="false">IF(COUNTIF(Conferência!$A$4:$A$336,F378)=0,"",IF(COUNTIFS(Conferência!$A$4:$A$336,F378,Conferência!$D$4:$D$336,G378)&gt;0,"Confere","Falta no Word"))</f>
        <v>Confere</v>
      </c>
      <c r="I378" s="3"/>
    </row>
    <row r="379" customFormat="false" ht="15" hidden="false" customHeight="false" outlineLevel="0" collapsed="false">
      <c r="A379" s="3" t="s">
        <v>712</v>
      </c>
      <c r="B379" s="3" t="s">
        <v>713</v>
      </c>
      <c r="C379" s="3" t="s">
        <v>720</v>
      </c>
      <c r="D379" s="3" t="s">
        <v>923</v>
      </c>
      <c r="E379" s="3" t="s">
        <v>715</v>
      </c>
      <c r="F379" s="3" t="s">
        <v>16</v>
      </c>
      <c r="G379" s="3" t="str">
        <f aca="false">IF(LEFT(D379,3)="09S",LEFT(D379,14),D379)</f>
        <v>09S29QBR702121</v>
      </c>
      <c r="H379" s="9" t="str">
        <f aca="false">IF(COUNTIF(Conferência!$A$4:$A$336,F379)=0,"",IF(COUNTIFS(Conferência!$A$4:$A$336,F379,Conferência!$D$4:$D$336,G379)&gt;0,"Confere","Falta no Word"))</f>
        <v>Confere</v>
      </c>
      <c r="I379" s="3"/>
    </row>
    <row r="380" customFormat="false" ht="15" hidden="false" customHeight="false" outlineLevel="0" collapsed="false">
      <c r="A380" s="3" t="s">
        <v>712</v>
      </c>
      <c r="B380" s="3" t="s">
        <v>713</v>
      </c>
      <c r="C380" s="3" t="s">
        <v>720</v>
      </c>
      <c r="D380" s="3" t="s">
        <v>924</v>
      </c>
      <c r="E380" s="3" t="s">
        <v>715</v>
      </c>
      <c r="F380" s="3" t="s">
        <v>16</v>
      </c>
      <c r="G380" s="3" t="str">
        <f aca="false">IF(LEFT(D380,3)="09S",LEFT(D380,14),D380)</f>
        <v>09S29QBR811429</v>
      </c>
      <c r="H380" s="9" t="str">
        <f aca="false">IF(COUNTIF(Conferência!$A$4:$A$336,F380)=0,"",IF(COUNTIFS(Conferência!$A$4:$A$336,F380,Conferência!$D$4:$D$336,G380)&gt;0,"Confere","Falta no Word"))</f>
        <v>Confere</v>
      </c>
      <c r="I380" s="3"/>
    </row>
    <row r="381" customFormat="false" ht="15" hidden="false" customHeight="false" outlineLevel="0" collapsed="false">
      <c r="A381" s="3" t="s">
        <v>712</v>
      </c>
      <c r="B381" s="3" t="s">
        <v>713</v>
      </c>
      <c r="C381" s="3" t="s">
        <v>720</v>
      </c>
      <c r="D381" s="3" t="s">
        <v>925</v>
      </c>
      <c r="E381" s="3" t="s">
        <v>715</v>
      </c>
      <c r="F381" s="3" t="s">
        <v>16</v>
      </c>
      <c r="G381" s="3" t="str">
        <f aca="false">IF(LEFT(D381,3)="09S",LEFT(D381,14),D381)</f>
        <v>09S29QBR707648</v>
      </c>
      <c r="H381" s="9" t="str">
        <f aca="false">IF(COUNTIF(Conferência!$A$4:$A$336,F381)=0,"",IF(COUNTIFS(Conferência!$A$4:$A$336,F381,Conferência!$D$4:$D$336,G381)&gt;0,"Confere","Falta no Word"))</f>
        <v>Confere</v>
      </c>
      <c r="I381" s="3"/>
    </row>
    <row r="382" customFormat="false" ht="15" hidden="false" customHeight="false" outlineLevel="0" collapsed="false">
      <c r="A382" s="3" t="s">
        <v>712</v>
      </c>
      <c r="B382" s="3" t="s">
        <v>713</v>
      </c>
      <c r="C382" s="3" t="s">
        <v>720</v>
      </c>
      <c r="D382" s="3" t="s">
        <v>926</v>
      </c>
      <c r="E382" s="3" t="s">
        <v>715</v>
      </c>
      <c r="F382" s="3" t="s">
        <v>16</v>
      </c>
      <c r="G382" s="3" t="str">
        <f aca="false">IF(LEFT(D382,3)="09S",LEFT(D382,14),D382)</f>
        <v>09S29QBR809588</v>
      </c>
      <c r="H382" s="9" t="str">
        <f aca="false">IF(COUNTIF(Conferência!$A$4:$A$336,F382)=0,"",IF(COUNTIFS(Conferência!$A$4:$A$336,F382,Conferência!$D$4:$D$336,G382)&gt;0,"Confere","Falta no Word"))</f>
        <v>Confere</v>
      </c>
      <c r="I382" s="3"/>
    </row>
    <row r="383" customFormat="false" ht="15" hidden="false" customHeight="false" outlineLevel="0" collapsed="false">
      <c r="A383" s="3" t="s">
        <v>712</v>
      </c>
      <c r="B383" s="3" t="s">
        <v>713</v>
      </c>
      <c r="C383" s="3" t="s">
        <v>720</v>
      </c>
      <c r="D383" s="3" t="s">
        <v>927</v>
      </c>
      <c r="E383" s="3" t="s">
        <v>715</v>
      </c>
      <c r="F383" s="3" t="s">
        <v>16</v>
      </c>
      <c r="G383" s="3" t="str">
        <f aca="false">IF(LEFT(D383,3)="09S",LEFT(D383,14),D383)</f>
        <v>09S29QBR812504</v>
      </c>
      <c r="H383" s="9" t="str">
        <f aca="false">IF(COUNTIF(Conferência!$A$4:$A$336,F383)=0,"",IF(COUNTIFS(Conferência!$A$4:$A$336,F383,Conferência!$D$4:$D$336,G383)&gt;0,"Confere","Falta no Word"))</f>
        <v>Confere</v>
      </c>
      <c r="I383" s="3"/>
    </row>
    <row r="384" customFormat="false" ht="15" hidden="false" customHeight="false" outlineLevel="0" collapsed="false">
      <c r="A384" s="3" t="s">
        <v>712</v>
      </c>
      <c r="B384" s="3" t="s">
        <v>713</v>
      </c>
      <c r="C384" s="3" t="s">
        <v>720</v>
      </c>
      <c r="D384" s="3" t="s">
        <v>928</v>
      </c>
      <c r="E384" s="3" t="s">
        <v>715</v>
      </c>
      <c r="F384" s="3" t="s">
        <v>16</v>
      </c>
      <c r="G384" s="3" t="str">
        <f aca="false">IF(LEFT(D384,3)="09S",LEFT(D384,14),D384)</f>
        <v>09S29QBR722677</v>
      </c>
      <c r="H384" s="9" t="str">
        <f aca="false">IF(COUNTIF(Conferência!$A$4:$A$336,F384)=0,"",IF(COUNTIFS(Conferência!$A$4:$A$336,F384,Conferência!$D$4:$D$336,G384)&gt;0,"Confere","Falta no Word"))</f>
        <v>Confere</v>
      </c>
      <c r="I384" s="3"/>
    </row>
    <row r="385" customFormat="false" ht="15" hidden="false" customHeight="false" outlineLevel="0" collapsed="false">
      <c r="A385" s="3" t="s">
        <v>712</v>
      </c>
      <c r="B385" s="3" t="s">
        <v>713</v>
      </c>
      <c r="C385" s="3" t="s">
        <v>720</v>
      </c>
      <c r="D385" s="3" t="s">
        <v>929</v>
      </c>
      <c r="E385" s="3" t="s">
        <v>715</v>
      </c>
      <c r="F385" s="3" t="s">
        <v>16</v>
      </c>
      <c r="G385" s="3" t="str">
        <f aca="false">IF(LEFT(D385,3)="09S",LEFT(D385,14),D385)</f>
        <v>09S29QBR700557</v>
      </c>
      <c r="H385" s="9" t="str">
        <f aca="false">IF(COUNTIF(Conferência!$A$4:$A$336,F385)=0,"",IF(COUNTIFS(Conferência!$A$4:$A$336,F385,Conferência!$D$4:$D$336,G385)&gt;0,"Confere","Falta no Word"))</f>
        <v>Confere</v>
      </c>
      <c r="I385" s="3"/>
    </row>
    <row r="386" customFormat="false" ht="15" hidden="false" customHeight="false" outlineLevel="0" collapsed="false">
      <c r="A386" s="3" t="s">
        <v>712</v>
      </c>
      <c r="B386" s="3" t="s">
        <v>713</v>
      </c>
      <c r="C386" s="3" t="s">
        <v>720</v>
      </c>
      <c r="D386" s="3" t="s">
        <v>930</v>
      </c>
      <c r="E386" s="3" t="s">
        <v>715</v>
      </c>
      <c r="F386" s="3" t="s">
        <v>16</v>
      </c>
      <c r="G386" s="3" t="str">
        <f aca="false">IF(LEFT(D386,3)="09S",LEFT(D386,14),D386)</f>
        <v>09S29QBR812564</v>
      </c>
      <c r="H386" s="9" t="str">
        <f aca="false">IF(COUNTIF(Conferência!$A$4:$A$336,F386)=0,"",IF(COUNTIFS(Conferência!$A$4:$A$336,F386,Conferência!$D$4:$D$336,G386)&gt;0,"Confere","Falta no Word"))</f>
        <v>Confere</v>
      </c>
      <c r="I386" s="3"/>
    </row>
    <row r="387" customFormat="false" ht="15" hidden="false" customHeight="false" outlineLevel="0" collapsed="false">
      <c r="A387" s="3" t="s">
        <v>712</v>
      </c>
      <c r="B387" s="3" t="s">
        <v>713</v>
      </c>
      <c r="C387" s="3" t="s">
        <v>720</v>
      </c>
      <c r="D387" s="3" t="s">
        <v>931</v>
      </c>
      <c r="E387" s="3" t="s">
        <v>715</v>
      </c>
      <c r="F387" s="3" t="s">
        <v>16</v>
      </c>
      <c r="G387" s="3" t="str">
        <f aca="false">IF(LEFT(D387,3)="09S",LEFT(D387,14),D387)</f>
        <v>09S29QBR811163</v>
      </c>
      <c r="H387" s="9" t="str">
        <f aca="false">IF(COUNTIF(Conferência!$A$4:$A$336,F387)=0,"",IF(COUNTIFS(Conferência!$A$4:$A$336,F387,Conferência!$D$4:$D$336,G387)&gt;0,"Confere","Falta no Word"))</f>
        <v>Confere</v>
      </c>
      <c r="I387" s="3"/>
    </row>
    <row r="388" customFormat="false" ht="15" hidden="false" customHeight="false" outlineLevel="0" collapsed="false">
      <c r="A388" s="3" t="s">
        <v>712</v>
      </c>
      <c r="B388" s="3" t="s">
        <v>713</v>
      </c>
      <c r="C388" s="3" t="s">
        <v>720</v>
      </c>
      <c r="D388" s="3" t="s">
        <v>932</v>
      </c>
      <c r="E388" s="3" t="s">
        <v>715</v>
      </c>
      <c r="F388" s="3" t="s">
        <v>16</v>
      </c>
      <c r="G388" s="3" t="str">
        <f aca="false">IF(LEFT(D388,3)="09S",LEFT(D388,14),D388)</f>
        <v>09S29QBR809552</v>
      </c>
      <c r="H388" s="9" t="str">
        <f aca="false">IF(COUNTIF(Conferência!$A$4:$A$336,F388)=0,"",IF(COUNTIFS(Conferência!$A$4:$A$336,F388,Conferência!$D$4:$D$336,G388)&gt;0,"Confere","Falta no Word"))</f>
        <v>Confere</v>
      </c>
      <c r="I388" s="3"/>
    </row>
    <row r="389" customFormat="false" ht="15" hidden="false" customHeight="false" outlineLevel="0" collapsed="false">
      <c r="A389" s="3" t="s">
        <v>712</v>
      </c>
      <c r="B389" s="3" t="s">
        <v>713</v>
      </c>
      <c r="C389" s="3" t="s">
        <v>720</v>
      </c>
      <c r="D389" s="3" t="s">
        <v>933</v>
      </c>
      <c r="E389" s="3" t="s">
        <v>715</v>
      </c>
      <c r="F389" s="3" t="s">
        <v>16</v>
      </c>
      <c r="G389" s="3" t="str">
        <f aca="false">IF(LEFT(D389,3)="09S",LEFT(D389,14),D389)</f>
        <v>09S29QBR722676</v>
      </c>
      <c r="H389" s="9" t="str">
        <f aca="false">IF(COUNTIF(Conferência!$A$4:$A$336,F389)=0,"",IF(COUNTIFS(Conferência!$A$4:$A$336,F389,Conferência!$D$4:$D$336,G389)&gt;0,"Confere","Falta no Word"))</f>
        <v>Confere</v>
      </c>
      <c r="I389" s="3"/>
    </row>
    <row r="390" customFormat="false" ht="15" hidden="false" customHeight="false" outlineLevel="0" collapsed="false">
      <c r="A390" s="3" t="s">
        <v>712</v>
      </c>
      <c r="B390" s="3" t="s">
        <v>713</v>
      </c>
      <c r="C390" s="3" t="s">
        <v>720</v>
      </c>
      <c r="D390" s="3" t="s">
        <v>934</v>
      </c>
      <c r="E390" s="3" t="s">
        <v>715</v>
      </c>
      <c r="F390" s="3" t="s">
        <v>16</v>
      </c>
      <c r="G390" s="3" t="str">
        <f aca="false">IF(LEFT(D390,3)="09S",LEFT(D390,14),D390)</f>
        <v>09S29QBR718871</v>
      </c>
      <c r="H390" s="9" t="str">
        <f aca="false">IF(COUNTIF(Conferência!$A$4:$A$336,F390)=0,"",IF(COUNTIFS(Conferência!$A$4:$A$336,F390,Conferência!$D$4:$D$336,G390)&gt;0,"Confere","Falta no Word"))</f>
        <v>Confere</v>
      </c>
      <c r="I390" s="3"/>
    </row>
    <row r="391" customFormat="false" ht="15" hidden="false" customHeight="false" outlineLevel="0" collapsed="false">
      <c r="A391" s="3" t="s">
        <v>712</v>
      </c>
      <c r="B391" s="3" t="s">
        <v>713</v>
      </c>
      <c r="C391" s="3" t="s">
        <v>720</v>
      </c>
      <c r="D391" s="3" t="s">
        <v>152</v>
      </c>
      <c r="E391" s="3" t="s">
        <v>715</v>
      </c>
      <c r="F391" s="3" t="s">
        <v>16</v>
      </c>
      <c r="G391" s="3" t="str">
        <f aca="false">IF(LEFT(D391,3)="09S",LEFT(D391,14),D391)</f>
        <v>09S29QBR811410</v>
      </c>
      <c r="H391" s="9" t="str">
        <f aca="false">IF(COUNTIF(Conferência!$A$4:$A$336,F391)=0,"",IF(COUNTIFS(Conferência!$A$4:$A$336,F391,Conferência!$D$4:$D$336,G391)&gt;0,"Confere","Falta no Word"))</f>
        <v>Falta no Word</v>
      </c>
      <c r="I391" s="3" t="s">
        <v>935</v>
      </c>
    </row>
    <row r="392" customFormat="false" ht="15" hidden="false" customHeight="false" outlineLevel="0" collapsed="false">
      <c r="A392" s="3" t="s">
        <v>712</v>
      </c>
      <c r="B392" s="3" t="s">
        <v>713</v>
      </c>
      <c r="C392" s="3" t="s">
        <v>720</v>
      </c>
      <c r="D392" s="3" t="s">
        <v>936</v>
      </c>
      <c r="E392" s="3" t="s">
        <v>715</v>
      </c>
      <c r="F392" s="3" t="s">
        <v>16</v>
      </c>
      <c r="G392" s="3" t="str">
        <f aca="false">IF(LEFT(D392,3)="09S",LEFT(D392,14),D392)</f>
        <v>09S29QBR722837</v>
      </c>
      <c r="H392" s="9" t="str">
        <f aca="false">IF(COUNTIF(Conferência!$A$4:$A$336,F392)=0,"",IF(COUNTIFS(Conferência!$A$4:$A$336,F392,Conferência!$D$4:$D$336,G392)&gt;0,"Confere","Falta no Word"))</f>
        <v>Confere</v>
      </c>
      <c r="I392" s="3"/>
    </row>
    <row r="393" customFormat="false" ht="15" hidden="false" customHeight="false" outlineLevel="0" collapsed="false">
      <c r="A393" s="3" t="s">
        <v>712</v>
      </c>
      <c r="B393" s="3" t="s">
        <v>713</v>
      </c>
      <c r="C393" s="3" t="s">
        <v>720</v>
      </c>
      <c r="D393" s="3" t="s">
        <v>937</v>
      </c>
      <c r="E393" s="3" t="s">
        <v>715</v>
      </c>
      <c r="F393" s="3" t="s">
        <v>16</v>
      </c>
      <c r="G393" s="3" t="str">
        <f aca="false">IF(LEFT(D393,3)="09S",LEFT(D393,14),D393)</f>
        <v>09S29QBR702201</v>
      </c>
      <c r="H393" s="9" t="str">
        <f aca="false">IF(COUNTIF(Conferência!$A$4:$A$336,F393)=0,"",IF(COUNTIFS(Conferência!$A$4:$A$336,F393,Conferência!$D$4:$D$336,G393)&gt;0,"Confere","Falta no Word"))</f>
        <v>Confere</v>
      </c>
      <c r="I393" s="3"/>
    </row>
    <row r="394" customFormat="false" ht="15" hidden="false" customHeight="false" outlineLevel="0" collapsed="false">
      <c r="A394" s="3" t="s">
        <v>712</v>
      </c>
      <c r="B394" s="3" t="s">
        <v>713</v>
      </c>
      <c r="C394" s="3" t="s">
        <v>720</v>
      </c>
      <c r="D394" s="3" t="s">
        <v>938</v>
      </c>
      <c r="E394" s="3" t="s">
        <v>715</v>
      </c>
      <c r="F394" s="3" t="s">
        <v>16</v>
      </c>
      <c r="G394" s="3" t="str">
        <f aca="false">IF(LEFT(D394,3)="09S",LEFT(D394,14),D394)</f>
        <v>09S29QBR722644</v>
      </c>
      <c r="H394" s="9" t="str">
        <f aca="false">IF(COUNTIF(Conferência!$A$4:$A$336,F394)=0,"",IF(COUNTIFS(Conferência!$A$4:$A$336,F394,Conferência!$D$4:$D$336,G394)&gt;0,"Confere","Falta no Word"))</f>
        <v>Confere</v>
      </c>
      <c r="I394" s="3"/>
    </row>
    <row r="395" customFormat="false" ht="15" hidden="false" customHeight="false" outlineLevel="0" collapsed="false">
      <c r="A395" s="3" t="s">
        <v>712</v>
      </c>
      <c r="B395" s="3" t="s">
        <v>713</v>
      </c>
      <c r="C395" s="3" t="s">
        <v>939</v>
      </c>
      <c r="D395" s="3" t="s">
        <v>563</v>
      </c>
      <c r="E395" s="3" t="s">
        <v>715</v>
      </c>
      <c r="F395" s="3" t="s">
        <v>16</v>
      </c>
      <c r="G395" s="3" t="str">
        <f aca="false">IF(LEFT(D395,3)="09S",LEFT(D395,14),D395)</f>
        <v>09S29QBR712456</v>
      </c>
      <c r="H395" s="9" t="str">
        <f aca="false">IF(COUNTIF(Conferência!$A$4:$A$336,F395)=0,"",IF(COUNTIFS(Conferência!$A$4:$A$336,F395,Conferência!$D$4:$D$336,G395)&gt;0,"Confere","Falta no Word"))</f>
        <v>Confere</v>
      </c>
      <c r="I395" s="3"/>
    </row>
    <row r="396" customFormat="false" ht="15" hidden="false" customHeight="false" outlineLevel="0" collapsed="false">
      <c r="A396" s="3" t="s">
        <v>712</v>
      </c>
      <c r="B396" s="3" t="s">
        <v>713</v>
      </c>
      <c r="C396" s="3" t="s">
        <v>717</v>
      </c>
      <c r="D396" s="3" t="s">
        <v>577</v>
      </c>
      <c r="E396" s="3" t="s">
        <v>715</v>
      </c>
      <c r="F396" s="3" t="s">
        <v>17</v>
      </c>
      <c r="G396" s="3" t="str">
        <f aca="false">IF(LEFT(D396,3)="09S",LEFT(D396,14),D396)</f>
        <v>09S29QAR110810</v>
      </c>
      <c r="H396" s="9" t="str">
        <f aca="false">IF(COUNTIF(Conferência!$A$4:$A$336,F396)=0,"",IF(COUNTIFS(Conferência!$A$4:$A$336,F396,Conferência!$D$4:$D$336,G396)&gt;0,"Confere","Falta no Word"))</f>
        <v>Confere</v>
      </c>
      <c r="I396" s="3"/>
    </row>
    <row r="397" customFormat="false" ht="15" hidden="false" customHeight="false" outlineLevel="0" collapsed="false">
      <c r="A397" s="3" t="s">
        <v>712</v>
      </c>
      <c r="B397" s="3" t="s">
        <v>713</v>
      </c>
      <c r="C397" s="3" t="s">
        <v>717</v>
      </c>
      <c r="D397" s="3" t="s">
        <v>574</v>
      </c>
      <c r="E397" s="3" t="s">
        <v>715</v>
      </c>
      <c r="F397" s="3" t="s">
        <v>17</v>
      </c>
      <c r="G397" s="3" t="str">
        <f aca="false">IF(LEFT(D397,3)="09S",LEFT(D397,14),D397)</f>
        <v>09S29QAR110482</v>
      </c>
      <c r="H397" s="9" t="str">
        <f aca="false">IF(COUNTIF(Conferência!$A$4:$A$336,F397)=0,"",IF(COUNTIFS(Conferência!$A$4:$A$336,F397,Conferência!$D$4:$D$336,G397)&gt;0,"Confere","Falta no Word"))</f>
        <v>Confere</v>
      </c>
      <c r="I397" s="3"/>
    </row>
    <row r="398" customFormat="false" ht="15" hidden="false" customHeight="false" outlineLevel="0" collapsed="false">
      <c r="A398" s="3" t="s">
        <v>712</v>
      </c>
      <c r="B398" s="3" t="s">
        <v>713</v>
      </c>
      <c r="C398" s="3" t="s">
        <v>717</v>
      </c>
      <c r="D398" s="3" t="s">
        <v>579</v>
      </c>
      <c r="E398" s="3" t="s">
        <v>715</v>
      </c>
      <c r="F398" s="3" t="s">
        <v>17</v>
      </c>
      <c r="G398" s="3" t="str">
        <f aca="false">IF(LEFT(D398,3)="09S",LEFT(D398,14),D398)</f>
        <v>09S29QANC07030</v>
      </c>
      <c r="H398" s="9" t="str">
        <f aca="false">IF(COUNTIF(Conferência!$A$4:$A$336,F398)=0,"",IF(COUNTIFS(Conferência!$A$4:$A$336,F398,Conferência!$D$4:$D$336,G398)&gt;0,"Confere","Falta no Word"))</f>
        <v>Confere</v>
      </c>
      <c r="I398" s="3"/>
    </row>
    <row r="399" customFormat="false" ht="15" hidden="false" customHeight="false" outlineLevel="0" collapsed="false">
      <c r="A399" s="3" t="s">
        <v>712</v>
      </c>
      <c r="B399" s="3" t="s">
        <v>713</v>
      </c>
      <c r="C399" s="3" t="s">
        <v>720</v>
      </c>
      <c r="D399" s="3" t="s">
        <v>940</v>
      </c>
      <c r="E399" s="3" t="s">
        <v>715</v>
      </c>
      <c r="F399" s="3" t="s">
        <v>17</v>
      </c>
      <c r="G399" s="3" t="str">
        <f aca="false">IF(LEFT(D399,3)="09S",LEFT(D399,14),D399)</f>
        <v>09S29QBR705509</v>
      </c>
      <c r="H399" s="9" t="str">
        <f aca="false">IF(COUNTIF(Conferência!$A$4:$A$336,F399)=0,"",IF(COUNTIFS(Conferência!$A$4:$A$336,F399,Conferência!$D$4:$D$336,G399)&gt;0,"Confere","Falta no Word"))</f>
        <v>Confere</v>
      </c>
      <c r="I399" s="3"/>
    </row>
    <row r="400" customFormat="false" ht="15" hidden="false" customHeight="false" outlineLevel="0" collapsed="false">
      <c r="A400" s="3" t="s">
        <v>712</v>
      </c>
      <c r="B400" s="3" t="s">
        <v>713</v>
      </c>
      <c r="C400" s="3" t="s">
        <v>720</v>
      </c>
      <c r="D400" s="3" t="s">
        <v>941</v>
      </c>
      <c r="E400" s="3" t="s">
        <v>715</v>
      </c>
      <c r="F400" s="3" t="s">
        <v>17</v>
      </c>
      <c r="G400" s="3" t="str">
        <f aca="false">IF(LEFT(D400,3)="09S",LEFT(D400,14),D400)</f>
        <v>09S29QBR711685</v>
      </c>
      <c r="H400" s="9" t="str">
        <f aca="false">IF(COUNTIF(Conferência!$A$4:$A$336,F400)=0,"",IF(COUNTIFS(Conferência!$A$4:$A$336,F400,Conferência!$D$4:$D$336,G400)&gt;0,"Confere","Falta no Word"))</f>
        <v>Confere</v>
      </c>
      <c r="I400" s="3"/>
    </row>
    <row r="401" customFormat="false" ht="15" hidden="false" customHeight="false" outlineLevel="0" collapsed="false">
      <c r="A401" s="3" t="s">
        <v>712</v>
      </c>
      <c r="B401" s="3" t="s">
        <v>713</v>
      </c>
      <c r="C401" s="3" t="s">
        <v>720</v>
      </c>
      <c r="D401" s="3" t="s">
        <v>942</v>
      </c>
      <c r="E401" s="3" t="s">
        <v>715</v>
      </c>
      <c r="F401" s="3" t="s">
        <v>17</v>
      </c>
      <c r="G401" s="3" t="str">
        <f aca="false">IF(LEFT(D401,3)="09S",LEFT(D401,14),D401)</f>
        <v>09S29QAR700032</v>
      </c>
      <c r="H401" s="9" t="str">
        <f aca="false">IF(COUNTIF(Conferência!$A$4:$A$336,F401)=0,"",IF(COUNTIFS(Conferência!$A$4:$A$336,F401,Conferência!$D$4:$D$336,G401)&gt;0,"Confere","Falta no Word"))</f>
        <v>Confere</v>
      </c>
      <c r="I401" s="3"/>
    </row>
    <row r="402" customFormat="false" ht="15" hidden="false" customHeight="false" outlineLevel="0" collapsed="false">
      <c r="A402" s="3" t="s">
        <v>712</v>
      </c>
      <c r="B402" s="3" t="s">
        <v>713</v>
      </c>
      <c r="C402" s="3" t="s">
        <v>720</v>
      </c>
      <c r="D402" s="3" t="s">
        <v>163</v>
      </c>
      <c r="E402" s="3" t="s">
        <v>715</v>
      </c>
      <c r="F402" s="3" t="s">
        <v>17</v>
      </c>
      <c r="G402" s="3" t="str">
        <f aca="false">IF(LEFT(D402,3)="09S",LEFT(D402,14),D402)</f>
        <v>09S29QBR722559</v>
      </c>
      <c r="H402" s="9" t="str">
        <f aca="false">IF(COUNTIF(Conferência!$A$4:$A$336,F402)=0,"",IF(COUNTIFS(Conferência!$A$4:$A$336,F402,Conferência!$D$4:$D$336,G402)&gt;0,"Confere","Falta no Word"))</f>
        <v>Falta no Word</v>
      </c>
      <c r="I402" s="3" t="s">
        <v>943</v>
      </c>
    </row>
    <row r="403" customFormat="false" ht="15" hidden="false" customHeight="false" outlineLevel="0" collapsed="false">
      <c r="A403" s="3" t="s">
        <v>712</v>
      </c>
      <c r="B403" s="3" t="s">
        <v>713</v>
      </c>
      <c r="C403" s="3" t="s">
        <v>720</v>
      </c>
      <c r="D403" s="3" t="s">
        <v>944</v>
      </c>
      <c r="E403" s="3" t="s">
        <v>715</v>
      </c>
      <c r="F403" s="3" t="s">
        <v>17</v>
      </c>
      <c r="G403" s="3" t="str">
        <f aca="false">IF(LEFT(D403,3)="09S",LEFT(D403,14),D403)</f>
        <v>09S29QBR702100</v>
      </c>
      <c r="H403" s="9" t="str">
        <f aca="false">IF(COUNTIF(Conferência!$A$4:$A$336,F403)=0,"",IF(COUNTIFS(Conferência!$A$4:$A$336,F403,Conferência!$D$4:$D$336,G403)&gt;0,"Confere","Falta no Word"))</f>
        <v>Confere</v>
      </c>
      <c r="I403" s="3"/>
    </row>
    <row r="404" customFormat="false" ht="15" hidden="false" customHeight="false" outlineLevel="0" collapsed="false">
      <c r="A404" s="3" t="s">
        <v>712</v>
      </c>
      <c r="B404" s="3" t="s">
        <v>713</v>
      </c>
      <c r="C404" s="3" t="s">
        <v>720</v>
      </c>
      <c r="D404" s="3" t="s">
        <v>945</v>
      </c>
      <c r="E404" s="3" t="s">
        <v>715</v>
      </c>
      <c r="F404" s="3" t="s">
        <v>17</v>
      </c>
      <c r="G404" s="3" t="str">
        <f aca="false">IF(LEFT(D404,3)="09S",LEFT(D404,14),D404)</f>
        <v>09S29QBR702127</v>
      </c>
      <c r="H404" s="9" t="str">
        <f aca="false">IF(COUNTIF(Conferência!$A$4:$A$336,F404)=0,"",IF(COUNTIFS(Conferência!$A$4:$A$336,F404,Conferência!$D$4:$D$336,G404)&gt;0,"Confere","Falta no Word"))</f>
        <v>Confere</v>
      </c>
      <c r="I404" s="3"/>
    </row>
    <row r="405" customFormat="false" ht="15" hidden="false" customHeight="false" outlineLevel="0" collapsed="false">
      <c r="A405" s="3" t="s">
        <v>712</v>
      </c>
      <c r="B405" s="3" t="s">
        <v>713</v>
      </c>
      <c r="C405" s="3" t="s">
        <v>720</v>
      </c>
      <c r="D405" s="3" t="s">
        <v>946</v>
      </c>
      <c r="E405" s="3" t="s">
        <v>715</v>
      </c>
      <c r="F405" s="3" t="s">
        <v>17</v>
      </c>
      <c r="G405" s="3" t="str">
        <f aca="false">IF(LEFT(D405,3)="09S",LEFT(D405,14),D405)</f>
        <v>09S29QBR702161</v>
      </c>
      <c r="H405" s="9" t="str">
        <f aca="false">IF(COUNTIF(Conferência!$A$4:$A$336,F405)=0,"",IF(COUNTIFS(Conferência!$A$4:$A$336,F405,Conferência!$D$4:$D$336,G405)&gt;0,"Confere","Falta no Word"))</f>
        <v>Confere</v>
      </c>
      <c r="I405" s="3"/>
    </row>
    <row r="406" customFormat="false" ht="15" hidden="false" customHeight="false" outlineLevel="0" collapsed="false">
      <c r="A406" s="3" t="s">
        <v>712</v>
      </c>
      <c r="B406" s="3" t="s">
        <v>713</v>
      </c>
      <c r="C406" s="3" t="s">
        <v>720</v>
      </c>
      <c r="D406" s="3" t="s">
        <v>166</v>
      </c>
      <c r="E406" s="3" t="s">
        <v>715</v>
      </c>
      <c r="F406" s="3" t="s">
        <v>17</v>
      </c>
      <c r="G406" s="3" t="str">
        <f aca="false">IF(LEFT(D406,3)="09S",LEFT(D406,14),D406)</f>
        <v>09S29QBR702226</v>
      </c>
      <c r="H406" s="9" t="str">
        <f aca="false">IF(COUNTIF(Conferência!$A$4:$A$336,F406)=0,"",IF(COUNTIFS(Conferência!$A$4:$A$336,F406,Conferência!$D$4:$D$336,G406)&gt;0,"Confere","Falta no Word"))</f>
        <v>Falta no Word</v>
      </c>
      <c r="I406" s="3" t="s">
        <v>947</v>
      </c>
    </row>
    <row r="407" customFormat="false" ht="15" hidden="false" customHeight="false" outlineLevel="0" collapsed="false">
      <c r="A407" s="3" t="s">
        <v>712</v>
      </c>
      <c r="B407" s="3" t="s">
        <v>713</v>
      </c>
      <c r="C407" s="3" t="s">
        <v>720</v>
      </c>
      <c r="D407" s="3" t="s">
        <v>948</v>
      </c>
      <c r="E407" s="3" t="s">
        <v>715</v>
      </c>
      <c r="F407" s="3" t="s">
        <v>17</v>
      </c>
      <c r="G407" s="3" t="str">
        <f aca="false">IF(LEFT(D407,3)="09S",LEFT(D407,14),D407)</f>
        <v>09S29QBR701008</v>
      </c>
      <c r="H407" s="9" t="str">
        <f aca="false">IF(COUNTIF(Conferência!$A$4:$A$336,F407)=0,"",IF(COUNTIFS(Conferência!$A$4:$A$336,F407,Conferência!$D$4:$D$336,G407)&gt;0,"Confere","Falta no Word"))</f>
        <v>Confere</v>
      </c>
      <c r="I407" s="3"/>
    </row>
    <row r="408" customFormat="false" ht="15" hidden="false" customHeight="false" outlineLevel="0" collapsed="false">
      <c r="A408" s="3" t="s">
        <v>712</v>
      </c>
      <c r="B408" s="3" t="s">
        <v>713</v>
      </c>
      <c r="C408" s="3" t="s">
        <v>720</v>
      </c>
      <c r="D408" s="3" t="s">
        <v>949</v>
      </c>
      <c r="E408" s="3" t="s">
        <v>715</v>
      </c>
      <c r="F408" s="3" t="s">
        <v>17</v>
      </c>
      <c r="G408" s="3" t="str">
        <f aca="false">IF(LEFT(D408,3)="09S",LEFT(D408,14),D408)</f>
        <v>09S29QBR603378</v>
      </c>
      <c r="H408" s="9" t="str">
        <f aca="false">IF(COUNTIF(Conferência!$A$4:$A$336,F408)=0,"",IF(COUNTIFS(Conferência!$A$4:$A$336,F408,Conferência!$D$4:$D$336,G408)&gt;0,"Confere","Falta no Word"))</f>
        <v>Confere</v>
      </c>
      <c r="I408" s="3"/>
    </row>
    <row r="409" customFormat="false" ht="15" hidden="false" customHeight="false" outlineLevel="0" collapsed="false">
      <c r="A409" s="3" t="s">
        <v>712</v>
      </c>
      <c r="B409" s="3" t="s">
        <v>713</v>
      </c>
      <c r="C409" s="3" t="s">
        <v>720</v>
      </c>
      <c r="D409" s="3" t="s">
        <v>950</v>
      </c>
      <c r="E409" s="3" t="s">
        <v>715</v>
      </c>
      <c r="F409" s="3" t="s">
        <v>17</v>
      </c>
      <c r="G409" s="3" t="str">
        <f aca="false">IF(LEFT(D409,3)="09S",LEFT(D409,14),D409)</f>
        <v>09S29QBR712123</v>
      </c>
      <c r="H409" s="9" t="str">
        <f aca="false">IF(COUNTIF(Conferência!$A$4:$A$336,F409)=0,"",IF(COUNTIFS(Conferência!$A$4:$A$336,F409,Conferência!$D$4:$D$336,G409)&gt;0,"Confere","Falta no Word"))</f>
        <v>Confere</v>
      </c>
      <c r="I409" s="3"/>
    </row>
    <row r="410" customFormat="false" ht="15" hidden="false" customHeight="false" outlineLevel="0" collapsed="false">
      <c r="A410" s="3" t="s">
        <v>712</v>
      </c>
      <c r="B410" s="3" t="s">
        <v>713</v>
      </c>
      <c r="C410" s="3" t="s">
        <v>720</v>
      </c>
      <c r="D410" s="3" t="s">
        <v>951</v>
      </c>
      <c r="E410" s="3" t="s">
        <v>715</v>
      </c>
      <c r="F410" s="3" t="s">
        <v>17</v>
      </c>
      <c r="G410" s="3" t="str">
        <f aca="false">IF(LEFT(D410,3)="09S",LEFT(D410,14),D410)</f>
        <v>09S29QBR705018</v>
      </c>
      <c r="H410" s="9" t="str">
        <f aca="false">IF(COUNTIF(Conferência!$A$4:$A$336,F410)=0,"",IF(COUNTIFS(Conferência!$A$4:$A$336,F410,Conferência!$D$4:$D$336,G410)&gt;0,"Confere","Falta no Word"))</f>
        <v>Confere</v>
      </c>
      <c r="I410" s="3"/>
    </row>
    <row r="411" customFormat="false" ht="15" hidden="false" customHeight="false" outlineLevel="0" collapsed="false">
      <c r="A411" s="3" t="s">
        <v>712</v>
      </c>
      <c r="B411" s="3" t="s">
        <v>713</v>
      </c>
      <c r="C411" s="3" t="s">
        <v>720</v>
      </c>
      <c r="D411" s="3" t="s">
        <v>237</v>
      </c>
      <c r="E411" s="3" t="s">
        <v>715</v>
      </c>
      <c r="F411" s="3" t="s">
        <v>17</v>
      </c>
      <c r="G411" s="3" t="str">
        <f aca="false">IF(LEFT(D411,3)="09S",LEFT(D411,14),D411)</f>
        <v>09S29QBR707480</v>
      </c>
      <c r="H411" s="9" t="str">
        <f aca="false">IF(COUNTIF(Conferência!$A$4:$A$336,F411)=0,"",IF(COUNTIFS(Conferência!$A$4:$A$336,F411,Conferência!$D$4:$D$336,G411)&gt;0,"Confere","Falta no Word"))</f>
        <v>Confere</v>
      </c>
      <c r="I411" s="3"/>
    </row>
    <row r="412" customFormat="false" ht="15" hidden="false" customHeight="false" outlineLevel="0" collapsed="false">
      <c r="A412" s="3" t="s">
        <v>712</v>
      </c>
      <c r="B412" s="3" t="s">
        <v>713</v>
      </c>
      <c r="C412" s="3" t="s">
        <v>720</v>
      </c>
      <c r="D412" s="3" t="s">
        <v>952</v>
      </c>
      <c r="E412" s="3" t="s">
        <v>715</v>
      </c>
      <c r="F412" s="3" t="s">
        <v>17</v>
      </c>
      <c r="G412" s="3" t="str">
        <f aca="false">IF(LEFT(D412,3)="09S",LEFT(D412,14),D412)</f>
        <v>09S29QBR712147</v>
      </c>
      <c r="H412" s="9" t="str">
        <f aca="false">IF(COUNTIF(Conferência!$A$4:$A$336,F412)=0,"",IF(COUNTIFS(Conferência!$A$4:$A$336,F412,Conferência!$D$4:$D$336,G412)&gt;0,"Confere","Falta no Word"))</f>
        <v>Confere</v>
      </c>
      <c r="I412" s="3"/>
    </row>
    <row r="413" customFormat="false" ht="15" hidden="false" customHeight="false" outlineLevel="0" collapsed="false">
      <c r="A413" s="3" t="s">
        <v>712</v>
      </c>
      <c r="B413" s="3" t="s">
        <v>713</v>
      </c>
      <c r="C413" s="3" t="s">
        <v>720</v>
      </c>
      <c r="D413" s="3" t="s">
        <v>953</v>
      </c>
      <c r="E413" s="3" t="s">
        <v>715</v>
      </c>
      <c r="F413" s="3" t="s">
        <v>17</v>
      </c>
      <c r="G413" s="3" t="str">
        <f aca="false">IF(LEFT(D413,3)="09S",LEFT(D413,14),D413)</f>
        <v>09S29QBR701886</v>
      </c>
      <c r="H413" s="9" t="str">
        <f aca="false">IF(COUNTIF(Conferência!$A$4:$A$336,F413)=0,"",IF(COUNTIFS(Conferência!$A$4:$A$336,F413,Conferência!$D$4:$D$336,G413)&gt;0,"Confere","Falta no Word"))</f>
        <v>Confere</v>
      </c>
      <c r="I413" s="3"/>
    </row>
    <row r="414" customFormat="false" ht="15" hidden="false" customHeight="false" outlineLevel="0" collapsed="false">
      <c r="A414" s="3" t="s">
        <v>712</v>
      </c>
      <c r="B414" s="3" t="s">
        <v>713</v>
      </c>
      <c r="C414" s="3" t="s">
        <v>720</v>
      </c>
      <c r="D414" s="3" t="s">
        <v>954</v>
      </c>
      <c r="E414" s="3" t="s">
        <v>715</v>
      </c>
      <c r="F414" s="3" t="s">
        <v>17</v>
      </c>
      <c r="G414" s="3" t="str">
        <f aca="false">IF(LEFT(D414,3)="09S",LEFT(D414,14),D414)</f>
        <v>09S29QBR811367</v>
      </c>
      <c r="H414" s="9" t="str">
        <f aca="false">IF(COUNTIF(Conferência!$A$4:$A$336,F414)=0,"",IF(COUNTIFS(Conferência!$A$4:$A$336,F414,Conferência!$D$4:$D$336,G414)&gt;0,"Confere","Falta no Word"))</f>
        <v>Confere</v>
      </c>
      <c r="I414" s="3"/>
    </row>
    <row r="415" customFormat="false" ht="15" hidden="false" customHeight="false" outlineLevel="0" collapsed="false">
      <c r="A415" s="3" t="s">
        <v>712</v>
      </c>
      <c r="B415" s="3" t="s">
        <v>713</v>
      </c>
      <c r="C415" s="3" t="s">
        <v>720</v>
      </c>
      <c r="D415" s="3" t="s">
        <v>955</v>
      </c>
      <c r="E415" s="3" t="s">
        <v>715</v>
      </c>
      <c r="F415" s="3" t="s">
        <v>17</v>
      </c>
      <c r="G415" s="3" t="str">
        <f aca="false">IF(LEFT(D415,3)="09S",LEFT(D415,14),D415)</f>
        <v>09S29QBR722830</v>
      </c>
      <c r="H415" s="9" t="str">
        <f aca="false">IF(COUNTIF(Conferência!$A$4:$A$336,F415)=0,"",IF(COUNTIFS(Conferência!$A$4:$A$336,F415,Conferência!$D$4:$D$336,G415)&gt;0,"Confere","Falta no Word"))</f>
        <v>Confere</v>
      </c>
      <c r="I415" s="3"/>
    </row>
    <row r="416" customFormat="false" ht="15" hidden="false" customHeight="false" outlineLevel="0" collapsed="false">
      <c r="A416" s="3" t="s">
        <v>712</v>
      </c>
      <c r="B416" s="3" t="s">
        <v>713</v>
      </c>
      <c r="C416" s="3" t="s">
        <v>720</v>
      </c>
      <c r="D416" s="3" t="s">
        <v>956</v>
      </c>
      <c r="E416" s="3" t="s">
        <v>715</v>
      </c>
      <c r="F416" s="3" t="s">
        <v>17</v>
      </c>
      <c r="G416" s="3" t="str">
        <f aca="false">IF(LEFT(D416,3)="09S",LEFT(D416,14),D416)</f>
        <v>09S29QAR804400</v>
      </c>
      <c r="H416" s="9" t="str">
        <f aca="false">IF(COUNTIF(Conferência!$A$4:$A$336,F416)=0,"",IF(COUNTIFS(Conferência!$A$4:$A$336,F416,Conferência!$D$4:$D$336,G416)&gt;0,"Confere","Falta no Word"))</f>
        <v>Confere</v>
      </c>
      <c r="I416" s="3"/>
    </row>
    <row r="417" customFormat="false" ht="15" hidden="false" customHeight="false" outlineLevel="0" collapsed="false">
      <c r="A417" s="3" t="s">
        <v>712</v>
      </c>
      <c r="B417" s="3" t="s">
        <v>713</v>
      </c>
      <c r="C417" s="3" t="s">
        <v>720</v>
      </c>
      <c r="D417" s="3" t="s">
        <v>957</v>
      </c>
      <c r="E417" s="3" t="s">
        <v>715</v>
      </c>
      <c r="F417" s="3" t="s">
        <v>17</v>
      </c>
      <c r="G417" s="3" t="str">
        <f aca="false">IF(LEFT(D417,3)="09S",LEFT(D417,14),D417)</f>
        <v>09S29QBR811814</v>
      </c>
      <c r="H417" s="9" t="str">
        <f aca="false">IF(COUNTIF(Conferência!$A$4:$A$336,F417)=0,"",IF(COUNTIFS(Conferência!$A$4:$A$336,F417,Conferência!$D$4:$D$336,G417)&gt;0,"Confere","Falta no Word"))</f>
        <v>Confere</v>
      </c>
      <c r="I417" s="3"/>
    </row>
    <row r="418" customFormat="false" ht="15" hidden="false" customHeight="false" outlineLevel="0" collapsed="false">
      <c r="A418" s="3" t="s">
        <v>712</v>
      </c>
      <c r="B418" s="3" t="s">
        <v>713</v>
      </c>
      <c r="C418" s="3" t="s">
        <v>720</v>
      </c>
      <c r="D418" s="3" t="s">
        <v>958</v>
      </c>
      <c r="E418" s="3" t="s">
        <v>715</v>
      </c>
      <c r="F418" s="3" t="s">
        <v>17</v>
      </c>
      <c r="G418" s="3" t="str">
        <f aca="false">IF(LEFT(D418,3)="09S",LEFT(D418,14),D418)</f>
        <v>09S29QBR811871</v>
      </c>
      <c r="H418" s="9" t="str">
        <f aca="false">IF(COUNTIF(Conferência!$A$4:$A$336,F418)=0,"",IF(COUNTIFS(Conferência!$A$4:$A$336,F418,Conferência!$D$4:$D$336,G418)&gt;0,"Confere","Falta no Word"))</f>
        <v>Confere</v>
      </c>
      <c r="I418" s="3"/>
    </row>
    <row r="419" customFormat="false" ht="15" hidden="false" customHeight="false" outlineLevel="0" collapsed="false">
      <c r="A419" s="3" t="s">
        <v>712</v>
      </c>
      <c r="B419" s="3" t="s">
        <v>713</v>
      </c>
      <c r="C419" s="3" t="s">
        <v>720</v>
      </c>
      <c r="D419" s="3" t="s">
        <v>959</v>
      </c>
      <c r="E419" s="3" t="s">
        <v>715</v>
      </c>
      <c r="F419" s="3" t="s">
        <v>17</v>
      </c>
      <c r="G419" s="3" t="str">
        <f aca="false">IF(LEFT(D419,3)="09S",LEFT(D419,14),D419)</f>
        <v>09S29QBR811972</v>
      </c>
      <c r="H419" s="9" t="str">
        <f aca="false">IF(COUNTIF(Conferência!$A$4:$A$336,F419)=0,"",IF(COUNTIFS(Conferência!$A$4:$A$336,F419,Conferência!$D$4:$D$336,G419)&gt;0,"Confere","Falta no Word"))</f>
        <v>Confere</v>
      </c>
      <c r="I419" s="3"/>
    </row>
    <row r="420" customFormat="false" ht="15" hidden="false" customHeight="false" outlineLevel="0" collapsed="false">
      <c r="A420" s="3" t="s">
        <v>712</v>
      </c>
      <c r="B420" s="3" t="s">
        <v>713</v>
      </c>
      <c r="C420" s="3" t="s">
        <v>720</v>
      </c>
      <c r="D420" s="3" t="s">
        <v>960</v>
      </c>
      <c r="E420" s="3" t="s">
        <v>715</v>
      </c>
      <c r="F420" s="3" t="s">
        <v>17</v>
      </c>
      <c r="G420" s="3" t="str">
        <f aca="false">IF(LEFT(D420,3)="09S",LEFT(D420,14),D420)</f>
        <v>09S29QBR712323</v>
      </c>
      <c r="H420" s="9" t="str">
        <f aca="false">IF(COUNTIF(Conferência!$A$4:$A$336,F420)=0,"",IF(COUNTIFS(Conferência!$A$4:$A$336,F420,Conferência!$D$4:$D$336,G420)&gt;0,"Confere","Falta no Word"))</f>
        <v>Confere</v>
      </c>
      <c r="I420" s="3"/>
    </row>
    <row r="421" customFormat="false" ht="15" hidden="false" customHeight="false" outlineLevel="0" collapsed="false">
      <c r="A421" s="3" t="s">
        <v>712</v>
      </c>
      <c r="B421" s="3" t="s">
        <v>713</v>
      </c>
      <c r="C421" s="3" t="s">
        <v>720</v>
      </c>
      <c r="D421" s="3" t="s">
        <v>961</v>
      </c>
      <c r="E421" s="3" t="s">
        <v>715</v>
      </c>
      <c r="F421" s="3" t="s">
        <v>17</v>
      </c>
      <c r="G421" s="3" t="str">
        <f aca="false">IF(LEFT(D421,3)="09S",LEFT(D421,14),D421)</f>
        <v>09S29QBR707085</v>
      </c>
      <c r="H421" s="9" t="str">
        <f aca="false">IF(COUNTIF(Conferência!$A$4:$A$336,F421)=0,"",IF(COUNTIFS(Conferência!$A$4:$A$336,F421,Conferência!$D$4:$D$336,G421)&gt;0,"Confere","Falta no Word"))</f>
        <v>Confere</v>
      </c>
      <c r="I421" s="3"/>
    </row>
  </sheetData>
  <autoFilter ref="A1:I421"/>
  <conditionalFormatting sqref="A2:I421">
    <cfRule type="expression" priority="2" aboveAverage="0" equalAverage="0" bottom="0" percent="0" rank="0" text="" dxfId="5">
      <formula>$H2="Falta no Word"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2026-10-20T11:31:34Z</dcterms:created>
  <dc:creator>openpyxl</dc:creator>
  <dc:description/>
  <dc:language>en-US</dc:language>
  <cp:lastModifiedBy/>
  <dcterms:modified xsi:type="dcterms:W3CDTF">2026-10-20T11:31:35Z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